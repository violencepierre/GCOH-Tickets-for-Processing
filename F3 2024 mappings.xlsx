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7C4DFE9-34D2-4D90-BE1F-E31FF076BD28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oncurrentCalc="0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58" i="1" l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Q1352" i="1"/>
  <c r="P1352" i="1"/>
  <c r="Q1353" i="1"/>
  <c r="P1353" i="1"/>
  <c r="Q1354" i="1"/>
  <c r="P1354" i="1"/>
  <c r="Q1355" i="1"/>
  <c r="P1355" i="1"/>
  <c r="Q1356" i="1"/>
  <c r="P1356" i="1"/>
  <c r="Q1357" i="1"/>
  <c r="P1357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B1299" i="1"/>
  <c r="B1300" i="1"/>
  <c r="B1301" i="1"/>
  <c r="B1302" i="1"/>
  <c r="B1303" i="1"/>
  <c r="B1304" i="1"/>
  <c r="H1299" i="1"/>
  <c r="H1300" i="1"/>
  <c r="H1301" i="1"/>
  <c r="H1302" i="1"/>
  <c r="H1303" i="1"/>
  <c r="H1304" i="1"/>
  <c r="J1299" i="1"/>
  <c r="J1300" i="1"/>
  <c r="J1301" i="1"/>
  <c r="J1302" i="1"/>
  <c r="J1303" i="1"/>
  <c r="J1304" i="1"/>
  <c r="K1299" i="1"/>
  <c r="K1300" i="1"/>
  <c r="K1301" i="1"/>
  <c r="K1302" i="1"/>
  <c r="K1303" i="1"/>
  <c r="K130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B1298" i="1"/>
  <c r="H1298" i="1"/>
  <c r="J1298" i="1"/>
  <c r="K1298" i="1"/>
  <c r="Q1298" i="1"/>
  <c r="P1298" i="1"/>
  <c r="B1297" i="1"/>
  <c r="H1297" i="1"/>
  <c r="J1297" i="1"/>
  <c r="K1297" i="1"/>
  <c r="Q1297" i="1"/>
  <c r="P1297" i="1"/>
  <c r="K1296" i="1"/>
  <c r="K1295" i="1"/>
  <c r="B1296" i="1"/>
  <c r="H1296" i="1"/>
  <c r="J1296" i="1"/>
  <c r="Q1296" i="1"/>
  <c r="P1296" i="1"/>
  <c r="B1295" i="1"/>
  <c r="H1295" i="1"/>
  <c r="J1295" i="1"/>
  <c r="Q1295" i="1"/>
  <c r="P1295" i="1"/>
  <c r="B1294" i="1"/>
  <c r="H1294" i="1"/>
  <c r="J1294" i="1"/>
  <c r="K1294" i="1"/>
  <c r="Q1294" i="1"/>
  <c r="P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B1193" i="1"/>
  <c r="H1193" i="1"/>
  <c r="J1193" i="1"/>
  <c r="K1193" i="1"/>
  <c r="Q1193" i="1"/>
  <c r="P1193" i="1"/>
  <c r="B1192" i="1"/>
  <c r="H1192" i="1"/>
  <c r="J1192" i="1"/>
  <c r="K1192" i="1"/>
  <c r="Q1192" i="1"/>
  <c r="P1192" i="1"/>
  <c r="B1191" i="1"/>
  <c r="H1191" i="1"/>
  <c r="J1191" i="1"/>
  <c r="K1191" i="1"/>
  <c r="Q1191" i="1"/>
  <c r="P1191" i="1"/>
  <c r="B1190" i="1"/>
  <c r="H1190" i="1"/>
  <c r="J1190" i="1"/>
  <c r="K1190" i="1"/>
  <c r="Q1190" i="1"/>
  <c r="P1190" i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/>
  <c r="Q1187" i="1"/>
  <c r="P1187" i="1"/>
  <c r="Q1188" i="1"/>
  <c r="P1188" i="1"/>
  <c r="Q1189" i="1"/>
  <c r="P1189" i="1"/>
  <c r="B1185" i="1"/>
  <c r="H1185" i="1"/>
  <c r="J1185" i="1"/>
  <c r="K1185" i="1"/>
  <c r="Q1185" i="1"/>
  <c r="P1185" i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J889" i="1"/>
  <c r="F888" i="1"/>
  <c r="J888" i="1"/>
  <c r="F887" i="1"/>
  <c r="J887" i="1"/>
  <c r="F886" i="1"/>
  <c r="J886" i="1"/>
  <c r="F879" i="1"/>
  <c r="J879" i="1"/>
  <c r="F878" i="1"/>
  <c r="J878" i="1"/>
  <c r="F877" i="1"/>
  <c r="J877" i="1"/>
  <c r="F876" i="1"/>
  <c r="J876" i="1"/>
  <c r="F875" i="1"/>
  <c r="J875" i="1"/>
  <c r="F874" i="1"/>
  <c r="J874" i="1"/>
  <c r="F873" i="1"/>
  <c r="J873" i="1"/>
  <c r="F872" i="1"/>
  <c r="J872" i="1"/>
  <c r="F871" i="1"/>
  <c r="J871" i="1"/>
  <c r="F870" i="1"/>
  <c r="J870" i="1"/>
  <c r="F869" i="1"/>
  <c r="J869" i="1"/>
  <c r="F868" i="1"/>
  <c r="J868" i="1"/>
  <c r="F867" i="1"/>
  <c r="J867" i="1"/>
  <c r="F865" i="1"/>
  <c r="J865" i="1"/>
  <c r="F864" i="1"/>
  <c r="J864" i="1"/>
  <c r="F863" i="1"/>
  <c r="J863" i="1"/>
  <c r="F862" i="1"/>
  <c r="J862" i="1"/>
  <c r="F861" i="1"/>
  <c r="J861" i="1"/>
  <c r="F833" i="1"/>
  <c r="J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10" i="1"/>
  <c r="B5" i="1"/>
  <c r="B7" i="1"/>
  <c r="B2" i="1"/>
  <c r="B4" i="1"/>
  <c r="B6" i="1"/>
  <c r="B8" i="1"/>
  <c r="B3" i="1"/>
  <c r="B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<sst xmlns="http://schemas.openxmlformats.org/spreadsheetml/2006/main" count="13695" uniqueCount="3513">
  <si>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</si>
  <si>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</si>
  <si>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</si>
  <si>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</si>
  <si>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</si>
  <si>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</si>
  <si>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</si>
  <si>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</si>
  <si>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</si>
  <si>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</si>
  <si>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</si>
  <si>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</si>
  <si>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</si>
  <si>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</si>
  <si>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</si>
  <si>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</si>
  <si>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</si>
  <si>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</si>
  <si>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</si>
  <si>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</si>
  <si>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</si>
  <si>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</si>
  <si>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</si>
  <si>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</si>
  <si>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</si>
  <si>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</si>
  <si>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</si>
  <si>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</si>
  <si>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</si>
  <si>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</si>
  <si>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</si>
  <si>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</si>
  <si>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</si>
  <si>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</si>
  <si>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</si>
  <si>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</si>
  <si>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</si>
  <si>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</si>
  <si>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</si>
  <si>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</si>
  <si>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</si>
  <si>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</si>
  <si>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</si>
  <si>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</si>
  <si>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</si>
  <si>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</si>
  <si>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</si>
  <si>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</si>
  <si>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</si>
  <si>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</si>
  <si>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</si>
  <si>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</si>
  <si>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</si>
  <si>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</si>
  <si>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</si>
  <si>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</si>
  <si>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</si>
  <si>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</si>
  <si>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</si>
  <si>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</si>
  <si>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</si>
  <si>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</si>
  <si>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</si>
  <si>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</si>
  <si>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</si>
  <si>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</si>
  <si>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</si>
  <si>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</si>
  <si>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</si>
  <si>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</si>
  <si>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</si>
  <si>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</si>
  <si>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</si>
  <si>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</si>
  <si>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</si>
  <si>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</si>
  <si>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</si>
  <si>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</si>
  <si>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</si>
  <si>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</si>
  <si>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</si>
  <si>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</si>
  <si>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</si>
  <si>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</si>
  <si>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</si>
  <si>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</si>
  <si>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</si>
  <si>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</si>
  <si>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</si>
  <si>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</si>
  <si>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</si>
  <si>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</si>
  <si>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</si>
  <si>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</si>
  <si>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</si>
  <si>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</si>
  <si>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</si>
  <si>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</si>
  <si>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</si>
  <si>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</si>
  <si>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</si>
  <si>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</si>
  <si>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</si>
  <si>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</si>
  <si>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</si>
  <si>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</si>
  <si>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</si>
  <si>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</si>
  <si>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</si>
  <si>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</si>
  <si>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</si>
  <si>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</si>
  <si>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</si>
  <si>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</si>
  <si>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</si>
  <si>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</si>
  <si>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</si>
  <si>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</si>
  <si>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</si>
  <si>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</si>
  <si>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</si>
  <si>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</si>
  <si>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</si>
  <si>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</si>
  <si>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</si>
  <si>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</si>
  <si>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</si>
  <si>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</si>
  <si>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</si>
  <si>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</si>
  <si>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</si>
  <si>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</si>
  <si>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</si>
  <si>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</si>
  <si>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</si>
  <si>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</si>
  <si>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</si>
  <si>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</si>
  <si>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</si>
  <si>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</si>
  <si>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</si>
  <si>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</si>
  <si>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</si>
  <si>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</si>
  <si>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</si>
  <si>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</si>
  <si>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</si>
  <si>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</si>
  <si>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</si>
  <si>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</si>
  <si>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</si>
  <si>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</si>
  <si>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</si>
  <si>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</si>
  <si>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</si>
  <si>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</si>
  <si>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</si>
  <si>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</si>
  <si>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</si>
  <si>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</si>
  <si>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</si>
  <si>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</si>
  <si>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</si>
  <si>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</si>
  <si>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</si>
  <si>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</si>
  <si>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</si>
  <si>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</si>
  <si>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</si>
  <si>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</si>
  <si>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</si>
  <si>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</si>
  <si>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</si>
  <si>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</si>
  <si>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</si>
  <si>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</si>
  <si>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</si>
  <si>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</si>
  <si>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</si>
  <si>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</si>
  <si>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</si>
  <si>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</si>
  <si>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</si>
  <si>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</si>
  <si>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</si>
  <si>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</si>
  <si>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</si>
  <si>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</si>
  <si>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</si>
  <si>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</si>
  <si>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</si>
  <si>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</si>
  <si>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</si>
  <si>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</si>
  <si>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</si>
  <si>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</si>
  <si>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</si>
  <si>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</si>
  <si>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</si>
  <si>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</si>
  <si>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</si>
  <si>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</si>
  <si>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</si>
  <si>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</si>
  <si>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</si>
  <si>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</si>
  <si>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</si>
  <si>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</si>
  <si>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</si>
  <si>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</si>
  <si>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</si>
  <si>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</si>
  <si>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</si>
  <si>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</si>
  <si>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</si>
  <si>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</si>
  <si>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</si>
  <si>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</si>
  <si>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</si>
  <si>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</si>
  <si>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</si>
  <si>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</si>
  <si>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</si>
  <si>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</si>
  <si>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</si>
  <si>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</si>
  <si>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</si>
  <si>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</si>
  <si>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</si>
  <si>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</si>
  <si>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</si>
  <si>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</si>
  <si>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</si>
  <si>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</si>
  <si>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</si>
  <si>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</si>
  <si>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</si>
  <si>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</si>
  <si>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</si>
  <si>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</si>
  <si>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</si>
  <si>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</si>
  <si>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</si>
  <si>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</si>
  <si>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</si>
  <si>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</si>
  <si>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</si>
  <si>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</si>
  <si>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</si>
  <si>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</si>
  <si>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</si>
  <si>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</si>
  <si>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</si>
  <si>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</si>
  <si>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</si>
  <si>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</si>
  <si>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</si>
  <si>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</si>
  <si>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</si>
  <si>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</si>
  <si>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</si>
  <si>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</si>
  <si>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</si>
  <si>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</si>
  <si>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</si>
  <si>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</si>
  <si>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</si>
  <si>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</si>
  <si>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</si>
  <si>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</si>
  <si>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</si>
  <si>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</si>
  <si>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</si>
  <si>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</si>
  <si>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</si>
  <si>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</si>
  <si>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</si>
  <si>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</si>
  <si>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</si>
  <si>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</si>
  <si>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</si>
  <si>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</si>
  <si>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</si>
  <si>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</si>
  <si>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</si>
  <si>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</si>
  <si>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</si>
  <si>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</si>
  <si>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</si>
  <si>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</si>
  <si>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</si>
  <si>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</si>
  <si>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</si>
  <si>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</si>
  <si>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</si>
  <si>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</si>
  <si>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</si>
  <si>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</si>
  <si>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</si>
  <si>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</si>
  <si>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</si>
  <si>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</si>
  <si>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</si>
  <si>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</si>
  <si>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</si>
  <si>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</si>
  <si>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</si>
  <si>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</si>
  <si>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</si>
  <si>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</si>
  <si>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</si>
  <si>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</si>
  <si>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</si>
  <si>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</si>
  <si>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</si>
  <si>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</si>
  <si>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</si>
  <si>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</si>
  <si>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</si>
  <si>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</si>
  <si>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</si>
  <si>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</si>
  <si>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</si>
  <si>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</si>
  <si>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</si>
  <si>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</si>
  <si>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</si>
  <si>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</si>
  <si>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</si>
  <si>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</si>
  <si>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</si>
  <si>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</si>
  <si>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</si>
  <si>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</si>
  <si>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</si>
  <si>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</si>
  <si>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</si>
  <si>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</si>
  <si>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</si>
  <si>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</si>
  <si>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</si>
  <si>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</si>
  <si>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</si>
  <si>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</si>
  <si>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</si>
  <si>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</si>
  <si>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</si>
  <si>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</si>
  <si>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</si>
  <si>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</si>
  <si>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</si>
  <si>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</si>
  <si>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</si>
  <si>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</si>
  <si>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</si>
  <si>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</si>
  <si>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</si>
  <si>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</si>
  <si>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</si>
  <si>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</si>
  <si>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</si>
  <si>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</si>
  <si>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</si>
  <si>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</si>
  <si>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</si>
  <si>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</si>
  <si>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</si>
  <si>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</si>
  <si>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</si>
  <si>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</si>
  <si>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</si>
  <si>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</si>
  <si>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</si>
  <si>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</si>
  <si>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</si>
  <si>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</si>
  <si>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</si>
  <si>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</si>
  <si>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</si>
  <si>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</si>
  <si>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</si>
  <si>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</si>
  <si>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</si>
  <si>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</si>
  <si>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</si>
  <si>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</si>
  <si>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</si>
  <si>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</si>
  <si>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</si>
  <si>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</si>
  <si>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</si>
  <si>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</si>
  <si>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</si>
  <si>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</si>
  <si>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</si>
  <si>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</si>
  <si>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</si>
  <si>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</si>
  <si>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</si>
  <si>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</si>
  <si>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</si>
  <si>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</si>
  <si>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</si>
  <si>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</si>
  <si>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</si>
  <si>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</si>
  <si>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</si>
  <si>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</si>
  <si>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</si>
  <si>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</si>
  <si>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</si>
  <si>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</si>
  <si>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</si>
  <si>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</si>
  <si>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</si>
  <si>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</si>
  <si>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</si>
  <si>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</si>
  <si>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</si>
  <si>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</si>
  <si>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</si>
  <si>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</si>
  <si>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</si>
  <si>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</si>
  <si>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</si>
  <si>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</si>
  <si>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</si>
  <si>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</si>
  <si>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</si>
  <si>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</si>
  <si>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</si>
  <si>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</si>
  <si>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</si>
  <si>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</si>
  <si>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</si>
  <si>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</si>
  <si>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</si>
  <si>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</si>
  <si>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</si>
  <si>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</si>
  <si>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</si>
  <si>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</si>
  <si>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</si>
  <si>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</si>
  <si>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</si>
  <si>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</si>
  <si>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</si>
  <si>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</si>
  <si>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</si>
  <si>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</si>
  <si>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</si>
  <si>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</si>
  <si>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</si>
  <si>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</si>
  <si>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</si>
  <si>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</si>
  <si>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</si>
  <si>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</si>
  <si>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</si>
  <si>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</si>
  <si>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</si>
  <si>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</si>
  <si>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</si>
  <si>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</si>
  <si>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</si>
  <si>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</si>
  <si>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</si>
  <si>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</si>
  <si>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</si>
  <si>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</si>
  <si>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</si>
  <si>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</si>
  <si>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</si>
  <si>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</si>
  <si>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</si>
  <si>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</si>
  <si>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</si>
  <si>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</si>
  <si>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</si>
  <si>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</si>
  <si>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</si>
  <si>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</si>
  <si>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</si>
  <si>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</si>
  <si>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</si>
  <si>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</si>
  <si>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</si>
  <si>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</si>
  <si>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</si>
  <si>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</si>
  <si>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</si>
  <si>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</si>
  <si>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</si>
  <si>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</si>
  <si>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</si>
  <si>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</si>
  <si>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</si>
  <si>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</si>
  <si>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</si>
  <si>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</si>
  <si>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</si>
  <si>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</si>
  <si>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</si>
  <si>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</si>
  <si>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</si>
  <si>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</si>
  <si>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</si>
  <si>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</si>
  <si>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</si>
  <si>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</si>
  <si>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</si>
  <si>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</si>
  <si>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</si>
  <si>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</si>
  <si>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</si>
  <si>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</si>
  <si>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</si>
  <si>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</si>
  <si>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</si>
  <si>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</si>
  <si>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</si>
  <si>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</si>
  <si>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</si>
  <si>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</si>
  <si>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</si>
  <si>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</si>
  <si>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</si>
  <si>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</si>
  <si>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</si>
  <si>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</si>
  <si>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</si>
  <si>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</si>
  <si>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</si>
  <si>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</si>
  <si>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</si>
  <si>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</si>
  <si>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</si>
  <si>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</si>
  <si>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</si>
  <si>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</si>
  <si>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</si>
  <si>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</si>
  <si>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</si>
  <si>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</si>
  <si>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</si>
  <si>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</si>
  <si>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</si>
  <si>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</si>
  <si>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</si>
  <si>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</si>
  <si>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</si>
  <si>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</si>
  <si>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</si>
  <si>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</si>
  <si>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</si>
  <si>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</si>
  <si>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</si>
  <si>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</si>
  <si>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</si>
  <si>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</si>
  <si>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</si>
  <si>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</si>
  <si>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</si>
  <si>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</si>
  <si>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</si>
  <si>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</si>
  <si>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</si>
  <si>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</si>
  <si>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</si>
  <si>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</si>
  <si>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</si>
  <si>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</si>
  <si>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</si>
  <si>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</si>
  <si>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</si>
  <si>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</si>
  <si>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</si>
  <si>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</si>
  <si>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</si>
  <si>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</si>
  <si>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</si>
  <si>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</si>
  <si>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</si>
  <si>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</si>
  <si>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</si>
  <si>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</si>
  <si>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</si>
  <si>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</si>
  <si>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</si>
  <si>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</si>
  <si>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</si>
  <si>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</si>
  <si>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</si>
  <si>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</si>
  <si>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</si>
  <si>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</si>
  <si>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</si>
  <si>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</si>
  <si>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</si>
  <si>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</si>
  <si>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</si>
  <si>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</si>
  <si>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</si>
  <si>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</si>
  <si>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</si>
  <si>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</si>
  <si>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</si>
  <si>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</si>
  <si>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</si>
  <si>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</si>
  <si>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</si>
  <si>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</si>
  <si>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</si>
  <si>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</si>
  <si>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</si>
  <si>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</si>
  <si>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</si>
  <si>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</si>
  <si>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</si>
  <si>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</si>
  <si>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</si>
  <si>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</si>
  <si>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</si>
  <si>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</si>
  <si>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</si>
  <si>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</si>
  <si>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</si>
  <si>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</si>
  <si>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</si>
  <si>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</si>
  <si>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</si>
  <si>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</si>
  <si>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</si>
  <si>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</si>
  <si>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</si>
  <si>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</si>
  <si>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</si>
  <si>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</si>
  <si>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</si>
  <si>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</si>
  <si>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</si>
  <si>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</si>
  <si>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</si>
  <si>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</si>
  <si>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</si>
  <si>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</si>
  <si>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</si>
  <si>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</si>
  <si>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</si>
  <si>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</si>
  <si>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</si>
  <si>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</si>
  <si>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</si>
  <si>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</si>
  <si>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</si>
  <si>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</si>
  <si>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</si>
  <si>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</si>
  <si>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</si>
  <si>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</si>
  <si>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</si>
  <si>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</si>
  <si>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</si>
  <si>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</si>
  <si>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</si>
  <si>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</si>
  <si>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</si>
  <si>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</si>
  <si>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</si>
  <si>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</si>
  <si>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</si>
  <si>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</si>
  <si>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</si>
  <si>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</si>
  <si>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</si>
  <si>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</si>
  <si>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</si>
  <si>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</si>
  <si>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</si>
  <si>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</si>
  <si>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</si>
  <si>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</si>
  <si>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</si>
  <si>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</si>
  <si>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</si>
  <si>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</si>
  <si>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</si>
  <si>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</si>
  <si>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</si>
  <si>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</si>
  <si>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</si>
  <si>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</si>
  <si>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</si>
  <si>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</si>
  <si>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</si>
  <si>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</si>
  <si>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</si>
  <si>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</si>
  <si>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</si>
  <si>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</si>
  <si>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</si>
  <si>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</si>
  <si>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</si>
  <si>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</si>
  <si>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</si>
  <si>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</si>
  <si>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</si>
  <si>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</si>
  <si>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</si>
  <si>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</si>
  <si>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</si>
  <si>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</si>
  <si>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</si>
  <si>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</si>
  <si>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</si>
  <si>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</si>
  <si>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</si>
  <si>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</si>
  <si>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</si>
  <si>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</si>
  <si>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</si>
  <si>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</si>
  <si>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</si>
  <si>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</si>
  <si>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</si>
  <si>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</si>
  <si>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</si>
  <si>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</si>
  <si>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</si>
  <si>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</si>
  <si>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</si>
  <si>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</si>
  <si>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</si>
  <si>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</si>
  <si>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</si>
  <si>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</si>
  <si>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</si>
  <si>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</si>
  <si>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</si>
  <si>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</si>
  <si>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</si>
  <si>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</si>
  <si>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</si>
  <si>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</si>
  <si>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</si>
  <si>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</si>
  <si>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</si>
  <si>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</si>
  <si>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</si>
  <si>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</si>
  <si>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</si>
  <si>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</si>
  <si>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</si>
  <si>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</si>
  <si>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</si>
  <si>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</si>
  <si>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</si>
  <si>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</si>
  <si>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</si>
  <si>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</si>
  <si>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</si>
  <si>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</si>
  <si>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</si>
  <si>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</si>
  <si>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</si>
  <si>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</si>
  <si>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</si>
  <si>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</si>
  <si>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</si>
  <si>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</si>
  <si>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</si>
  <si>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</si>
  <si>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</si>
  <si>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</si>
  <si>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</si>
  <si>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</si>
  <si>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</si>
  <si>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</si>
  <si>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</si>
  <si>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</si>
  <si>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</si>
  <si>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</si>
  <si>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</si>
  <si>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</si>
  <si>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</si>
  <si>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</si>
  <si>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</si>
  <si>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</si>
  <si>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</si>
  <si>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</si>
  <si>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</si>
  <si>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</si>
  <si>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</si>
  <si>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</si>
  <si>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</si>
  <si>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</si>
  <si>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</si>
  <si>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</si>
  <si>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</si>
  <si>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</si>
  <si>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</si>
  <si>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</si>
  <si>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</si>
  <si>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</si>
  <si>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</si>
  <si>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</si>
  <si>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</si>
  <si>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</si>
  <si>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</si>
  <si>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</si>
  <si>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</si>
  <si>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</si>
  <si>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</si>
  <si>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</si>
  <si>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</si>
  <si>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</si>
  <si>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</si>
  <si>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</si>
  <si>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</si>
  <si>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</si>
  <si>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</si>
  <si>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</si>
  <si>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</si>
  <si>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</si>
  <si>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</si>
  <si>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</si>
  <si>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</si>
  <si>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</si>
  <si>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</si>
  <si>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</si>
  <si>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</si>
  <si>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</si>
  <si>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</si>
  <si>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</si>
  <si>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</si>
  <si>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</si>
  <si>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</si>
  <si>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</si>
  <si>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</si>
  <si>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</si>
  <si>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</si>
  <si>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</si>
  <si>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</si>
  <si>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</si>
  <si>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</si>
  <si>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</si>
  <si>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</si>
  <si>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</si>
  <si>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</si>
  <si>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</si>
  <si>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</si>
  <si>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</si>
  <si>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</si>
  <si>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</si>
  <si>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</si>
  <si>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</si>
  <si>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</si>
  <si>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</si>
  <si>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</si>
  <si>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</si>
  <si>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</si>
  <si>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</si>
  <si>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</si>
  <si>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</si>
  <si>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</si>
  <si>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</si>
  <si>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</si>
  <si>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</si>
  <si>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</si>
  <si>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</si>
  <si>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</si>
  <si>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</si>
  <si>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</si>
  <si>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</si>
  <si>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</si>
  <si>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</si>
  <si>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</si>
  <si>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</si>
  <si>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</si>
  <si>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</si>
  <si>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</si>
  <si>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</si>
  <si>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</si>
  <si>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</si>
  <si>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</si>
  <si>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</si>
  <si>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</si>
  <si>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</si>
  <si>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</si>
  <si>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</si>
  <si>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</si>
  <si>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</si>
  <si>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</si>
  <si>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</si>
  <si>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</si>
  <si>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</si>
  <si>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</si>
  <si>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</si>
  <si>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</si>
  <si>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</si>
  <si>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</si>
  <si>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</si>
  <si>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</si>
  <si>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</si>
  <si>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</si>
  <si>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</si>
  <si>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</si>
  <si>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</si>
  <si>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</si>
  <si>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</si>
  <si>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</si>
  <si>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</si>
  <si>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</si>
  <si>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</si>
  <si>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</si>
  <si>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</si>
  <si>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</si>
  <si>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</si>
  <si>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</si>
  <si>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</si>
  <si>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</si>
  <si>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</si>
  <si>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</si>
  <si>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</si>
  <si>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</si>
  <si>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</si>
  <si>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</si>
  <si>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</si>
  <si>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</si>
  <si>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</si>
  <si>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</si>
  <si>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</si>
  <si>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</si>
  <si>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</si>
  <si>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</si>
  <si>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</si>
  <si>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</si>
  <si>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</si>
  <si>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</si>
  <si>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</si>
  <si>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</si>
  <si>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</si>
  <si>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</si>
  <si>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</si>
  <si>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</si>
  <si>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</si>
  <si>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</si>
  <si>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</si>
  <si>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</si>
  <si>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</si>
  <si>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</si>
  <si>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</si>
  <si>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</si>
  <si>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</si>
  <si>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</si>
  <si>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</si>
  <si>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</si>
  <si>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</si>
  <si>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</si>
  <si>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</si>
  <si>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</si>
  <si>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</si>
  <si>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</si>
  <si>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</si>
  <si>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</si>
  <si>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</si>
  <si>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</si>
  <si>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</si>
  <si>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</si>
  <si>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</si>
  <si>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</si>
  <si>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</si>
  <si>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</si>
  <si>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</si>
  <si>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</si>
  <si>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</si>
  <si>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</si>
  <si>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</si>
  <si>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</si>
  <si>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</si>
  <si>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</si>
  <si>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</si>
  <si>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</si>
  <si>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</si>
  <si>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</si>
  <si>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</si>
  <si>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</si>
  <si>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</si>
  <si>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</si>
  <si>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</si>
  <si>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</si>
  <si>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</si>
  <si>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</si>
  <si>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</si>
  <si>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</si>
  <si>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</si>
  <si>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</si>
  <si>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</si>
  <si>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</si>
  <si>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</si>
  <si>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</si>
  <si>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</si>
  <si>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</si>
  <si>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</si>
  <si>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</si>
  <si>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</si>
  <si>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</si>
  <si>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</si>
  <si>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</si>
  <si>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</si>
  <si>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</si>
  <si>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</si>
  <si>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</si>
  <si>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</si>
  <si>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</si>
  <si>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</si>
  <si>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</si>
  <si>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</si>
  <si>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</si>
  <si>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</si>
  <si>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</si>
  <si>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</si>
  <si>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</si>
  <si>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</si>
  <si>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</si>
  <si>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</si>
  <si>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</si>
  <si>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</si>
  <si>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</si>
  <si>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</si>
  <si>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</si>
  <si>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</si>
  <si>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</si>
  <si>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</si>
  <si>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</si>
  <si>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</si>
  <si>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</si>
  <si>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</si>
  <si>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</si>
  <si>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</si>
  <si>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</si>
  <si>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</si>
  <si>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</si>
  <si>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</si>
  <si>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</si>
  <si>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</si>
  <si>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</si>
  <si>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</si>
  <si>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</si>
  <si>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</si>
  <si>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</si>
  <si>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</si>
  <si>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</si>
  <si>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</si>
  <si>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</si>
  <si>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</si>
  <si>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</si>
  <si>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</si>
  <si>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</si>
  <si>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</si>
  <si>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</si>
  <si>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</si>
  <si>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</si>
  <si>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</si>
  <si>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</si>
  <si>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</si>
  <si>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</si>
  <si>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</si>
  <si>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</si>
  <si>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</si>
  <si>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</si>
  <si>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</si>
  <si>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</si>
  <si>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</si>
  <si>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</si>
  <si>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</si>
  <si>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</si>
  <si>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</si>
  <si>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</si>
  <si>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</si>
  <si>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</si>
  <si>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</si>
  <si>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</si>
  <si>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</si>
  <si>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</si>
  <si>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</si>
  <si>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</si>
  <si>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</si>
  <si>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</si>
  <si>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</si>
  <si>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</si>
  <si>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</si>
  <si>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</si>
  <si>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</si>
  <si>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</si>
  <si>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</si>
  <si>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</si>
  <si>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</si>
  <si>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</si>
  <si>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</si>
  <si>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</si>
  <si>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</si>
  <si>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</si>
  <si>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</si>
  <si>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</si>
  <si>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</si>
  <si>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</si>
  <si>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</si>
  <si>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</si>
  <si>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</si>
  <si>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</si>
  <si>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</si>
  <si>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</si>
  <si>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</si>
  <si>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</si>
  <si>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</si>
  <si>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</si>
  <si>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</si>
  <si>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</si>
  <si>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</si>
  <si>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</si>
  <si>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</si>
  <si>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</si>
  <si>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</si>
  <si>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</si>
  <si>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</si>
  <si>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</si>
  <si>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</si>
  <si>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</si>
  <si>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</si>
  <si>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</si>
  <si>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</si>
  <si>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</si>
  <si>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</si>
  <si>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</si>
  <si>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</si>
  <si>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</si>
  <si>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</si>
  <si>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</si>
  <si>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</si>
  <si>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</si>
  <si>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</si>
  <si>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</si>
  <si>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</si>
  <si>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</si>
  <si>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</si>
  <si>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</si>
  <si>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</si>
  <si>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</si>
  <si>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</si>
  <si>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</si>
  <si>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</si>
  <si>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</si>
  <si>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</si>
  <si>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</si>
  <si>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</si>
  <si>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</si>
  <si>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</si>
  <si>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</si>
  <si>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</si>
  <si>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</si>
  <si>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</si>
  <si>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</si>
  <si>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</si>
  <si>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</si>
  <si>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</si>
  <si>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</si>
  <si>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</si>
  <si>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</si>
  <si>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</si>
  <si>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</si>
  <si>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</si>
  <si>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</si>
  <si>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</si>
  <si>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</si>
  <si>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</si>
  <si>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</si>
  <si>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</si>
  <si>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</si>
  <si>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</si>
  <si>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</si>
  <si>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</si>
  <si>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</si>
  <si>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</si>
  <si>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</si>
  <si>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</si>
  <si>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</si>
  <si>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</si>
  <si>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</si>
  <si>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</si>
  <si>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</si>
  <si>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</si>
  <si>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</si>
  <si>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</si>
  <si>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</si>
  <si>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</si>
  <si>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</si>
  <si>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</si>
  <si>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</si>
  <si>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</si>
  <si>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</si>
  <si>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</si>
  <si>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</si>
  <si>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</si>
  <si>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</si>
  <si>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</si>
  <si>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</si>
  <si>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</si>
  <si>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</si>
  <si>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</si>
  <si>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</si>
  <si>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</si>
  <si>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</si>
  <si>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</si>
  <si>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</si>
  <si>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</si>
  <si>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</si>
  <si>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</si>
  <si>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</si>
  <si>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</si>
  <si>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</si>
  <si>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</si>
  <si>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</si>
  <si>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</si>
  <si>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</si>
  <si>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</si>
  <si>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</si>
  <si>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</si>
  <si>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</si>
  <si>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</si>
  <si>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</si>
  <si>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</si>
  <si>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</si>
  <si>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</si>
  <si>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</si>
  <si>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</si>
  <si>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</si>
  <si>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</si>
  <si>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</si>
  <si>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</si>
  <si>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</si>
  <si>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</si>
  <si>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</si>
  <si>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</si>
  <si>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</si>
  <si>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</si>
  <si>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</si>
  <si>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</si>
  <si>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</si>
  <si>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</si>
  <si>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</si>
  <si>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</si>
  <si>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</si>
  <si>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</si>
  <si>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</si>
  <si>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</si>
  <si>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</si>
  <si>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</si>
  <si>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</si>
  <si>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</si>
  <si>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</si>
  <si>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</si>
  <si>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</si>
  <si>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</si>
  <si>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</si>
  <si>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</si>
  <si>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</si>
  <si>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</si>
  <si>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</si>
  <si>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</si>
  <si>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</si>
  <si>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</si>
  <si>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</si>
  <si>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</si>
  <si>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</si>
  <si>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</si>
  <si>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</si>
  <si>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</si>
  <si>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</si>
  <si>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</si>
  <si>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</si>
  <si>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</si>
  <si>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</si>
  <si>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</si>
  <si>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</si>
  <si>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</si>
  <si>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</si>
  <si>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</si>
  <si>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</si>
  <si>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</si>
  <si>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</si>
  <si>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</si>
  <si>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</si>
  <si>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</si>
  <si>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</si>
  <si>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</si>
  <si>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</si>
  <si>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</si>
  <si>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</si>
  <si>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</si>
  <si>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</si>
  <si>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</si>
  <si>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</si>
  <si>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</si>
  <si>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</si>
  <si>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</si>
  <si>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</si>
  <si>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</si>
  <si>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</si>
  <si>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</si>
  <si>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</si>
  <si>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</si>
  <si>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</si>
  <si>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</si>
  <si>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</si>
  <si>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</si>
  <si>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</si>
  <si>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</si>
  <si>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</si>
  <si>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</si>
  <si>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</si>
  <si>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</si>
  <si>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</si>
  <si>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</si>
  <si>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</si>
  <si>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</si>
  <si>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</si>
  <si>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</si>
  <si>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</si>
  <si>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</si>
  <si>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</si>
  <si>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</si>
  <si>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</si>
  <si>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</si>
  <si>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</si>
  <si>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</si>
  <si>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</si>
  <si>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</si>
  <si>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</si>
  <si>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</si>
  <si>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</si>
  <si>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</si>
  <si>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</si>
  <si>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</si>
  <si>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</si>
  <si>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</si>
  <si>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</si>
  <si>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</si>
  <si>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</si>
  <si>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</si>
  <si>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</si>
  <si>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</si>
  <si>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</si>
  <si>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</si>
  <si>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</si>
  <si>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</si>
  <si>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</si>
  <si>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</si>
  <si>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</si>
  <si>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</si>
  <si>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</si>
  <si>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</si>
  <si>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</si>
  <si>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</si>
  <si>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</si>
  <si>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</si>
  <si>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</si>
  <si>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</si>
  <si>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</si>
  <si>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</si>
  <si>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</si>
  <si>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</si>
  <si>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</si>
  <si>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</si>
  <si>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</si>
  <si>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</si>
  <si>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</si>
  <si>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</si>
  <si>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</si>
  <si>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</si>
  <si>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</si>
  <si>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</si>
  <si>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</si>
  <si>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</si>
  <si>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</si>
  <si>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</si>
  <si>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</si>
  <si>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</si>
  <si>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</si>
  <si>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</si>
  <si>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</si>
  <si>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</si>
  <si>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</si>
  <si>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</si>
  <si>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</si>
  <si>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</si>
  <si>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</si>
  <si>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</si>
  <si>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</si>
  <si>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</si>
  <si>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</si>
  <si>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</si>
  <si>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</si>
  <si>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</si>
  <si>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</si>
  <si>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</si>
  <si>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</si>
  <si>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</si>
  <si>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</si>
  <si>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</si>
  <si>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</si>
  <si>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</si>
  <si>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</si>
  <si>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</si>
  <si>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</si>
  <si>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</si>
  <si>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</si>
  <si>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</si>
  <si>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</si>
  <si>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</si>
  <si>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</si>
  <si>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</si>
  <si>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</si>
  <si>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</si>
  <si>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</si>
  <si>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</si>
  <si>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</si>
  <si>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</si>
  <si>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</si>
  <si>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</si>
  <si>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</si>
  <si>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</si>
  <si>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</si>
  <si>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</si>
  <si>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</si>
  <si>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</si>
  <si>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</si>
  <si>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</si>
  <si>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</si>
  <si>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</si>
  <si>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</si>
  <si>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</si>
  <si>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</si>
  <si>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</si>
  <si>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</si>
  <si>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</si>
  <si>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</si>
  <si>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</si>
  <si>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</si>
  <si>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</si>
  <si>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</si>
  <si>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</si>
  <si>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</si>
  <si>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</si>
  <si>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</si>
  <si>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</si>
  <si>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</si>
  <si>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</si>
  <si>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</si>
  <si>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</si>
  <si>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</si>
  <si>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</si>
  <si>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</si>
  <si>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</si>
  <si>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</si>
  <si>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</si>
  <si>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</si>
  <si>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</si>
  <si>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</si>
  <si>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</si>
  <si>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</si>
  <si>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</si>
  <si>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</si>
  <si>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</si>
  <si>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</si>
  <si>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</si>
  <si>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</si>
  <si>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</si>
  <si>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</si>
  <si>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</si>
  <si>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</si>
  <si>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</si>
  <si>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</si>
  <si>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</si>
  <si>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</si>
  <si>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</si>
  <si>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</si>
  <si>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</si>
  <si>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</si>
  <si>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</si>
  <si>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</si>
  <si>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</si>
  <si>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</si>
  <si>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</si>
  <si>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</si>
  <si>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</si>
  <si>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</si>
  <si>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</si>
  <si>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</si>
  <si>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</si>
  <si>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</si>
  <si>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</si>
  <si>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</si>
  <si>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</si>
  <si>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</si>
  <si>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</si>
  <si>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</si>
  <si>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</si>
  <si>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</si>
  <si>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</si>
  <si>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</si>
  <si>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</si>
  <si>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</si>
  <si>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</si>
  <si>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</si>
  <si>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</si>
  <si>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</si>
  <si>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</si>
  <si>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</si>
  <si>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</si>
  <si>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</si>
  <si>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</si>
  <si>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</si>
  <si>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</si>
  <si>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</si>
  <si>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</si>
  <si>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</si>
  <si>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</si>
  <si>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</si>
  <si>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</si>
  <si>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</si>
  <si>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</si>
  <si>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</si>
  <si>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</si>
  <si>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</si>
  <si>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</si>
  <si>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</si>
  <si>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</si>
  <si>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</si>
  <si>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</si>
  <si>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</si>
  <si>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</si>
  <si>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</si>
  <si>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</si>
  <si>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</si>
  <si>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</si>
  <si>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</si>
  <si>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</si>
  <si>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</si>
  <si>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</si>
  <si>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</si>
  <si>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</si>
  <si>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</si>
  <si>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</si>
  <si>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</si>
  <si>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</si>
  <si>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</si>
  <si>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</si>
  <si>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</si>
  <si>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</si>
  <si>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</si>
  <si>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</si>
  <si>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</si>
  <si>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</si>
  <si>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</si>
  <si>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</si>
  <si>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</si>
  <si>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</si>
  <si>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</si>
  <si>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</si>
  <si>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</si>
  <si>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</si>
  <si>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</si>
  <si>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</si>
  <si>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</si>
  <si>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</si>
  <si>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</si>
  <si>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</si>
  <si>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</si>
  <si>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</si>
  <si>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</si>
  <si>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</si>
  <si>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</si>
  <si>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</si>
  <si>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</si>
  <si>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</si>
  <si>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</si>
  <si>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</si>
  <si>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</si>
  <si>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</si>
  <si>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</si>
  <si>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</si>
  <si>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</si>
  <si>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</si>
  <si>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</si>
  <si>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</si>
  <si>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</si>
  <si>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</si>
  <si>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</si>
  <si>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</si>
  <si>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</si>
  <si>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</si>
  <si>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</si>
  <si>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</si>
  <si>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</si>
  <si>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</si>
  <si>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</si>
  <si>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</si>
  <si>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</si>
  <si>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</si>
  <si>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</si>
  <si>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</si>
  <si>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</si>
  <si>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</si>
  <si>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</si>
  <si>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</si>
  <si>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</si>
  <si>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</si>
  <si>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</si>
  <si>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</si>
  <si>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</si>
  <si>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</si>
  <si>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</si>
  <si>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</si>
  <si>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</si>
  <si>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</si>
  <si>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</si>
  <si>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</si>
  <si>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</si>
  <si>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</si>
  <si>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</si>
  <si>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</si>
  <si>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</si>
  <si>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</si>
  <si>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</si>
  <si>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</si>
  <si>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</si>
  <si>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</si>
  <si>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</si>
  <si>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</si>
  <si>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</si>
  <si>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</si>
  <si>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</si>
  <si>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</si>
  <si>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</si>
  <si>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</si>
  <si>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</si>
  <si>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</si>
  <si>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</si>
  <si>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</si>
  <si>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</si>
  <si>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</si>
  <si>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</si>
  <si>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</si>
  <si>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</si>
  <si>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</si>
  <si>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</si>
  <si>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</si>
  <si>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</si>
  <si>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</si>
  <si>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</si>
  <si>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</si>
  <si>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</si>
  <si>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</si>
  <si>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</si>
  <si>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</si>
  <si>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</si>
  <si>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</si>
  <si>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</si>
  <si>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</si>
  <si>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</si>
  <si>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</si>
  <si>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</si>
  <si>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</si>
  <si>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</si>
  <si>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</si>
  <si>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</si>
  <si>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</si>
  <si>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</si>
  <si>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</si>
  <si>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</si>
  <si>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</si>
  <si>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</si>
  <si>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</si>
  <si>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</si>
  <si>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</si>
  <si>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</si>
  <si>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</si>
  <si>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</si>
  <si>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</si>
  <si>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</si>
  <si>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</si>
  <si>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</si>
  <si>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</si>
  <si>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</si>
  <si>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</si>
  <si>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</si>
  <si>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</si>
  <si>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</si>
  <si>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</si>
  <si>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</si>
  <si>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</si>
  <si>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</si>
  <si>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</si>
  <si>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</si>
  <si>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</si>
  <si>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</si>
  <si>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</si>
  <si>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</si>
  <si>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</si>
  <si>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</si>
  <si>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</si>
  <si>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</si>
  <si>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</si>
  <si>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</si>
  <si>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</si>
  <si>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</si>
  <si>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</si>
  <si>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</si>
  <si>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</si>
  <si>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</si>
  <si>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</si>
  <si>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</si>
  <si>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</si>
  <si>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</si>
  <si>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</si>
  <si>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</si>
  <si>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</si>
  <si>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</si>
  <si>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</si>
  <si>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</si>
  <si>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</si>
  <si>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</si>
  <si>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</si>
  <si>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</si>
  <si>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</si>
  <si>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</si>
  <si>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</si>
  <si>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</si>
  <si>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</si>
  <si>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</si>
  <si>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</si>
  <si>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</si>
  <si>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</si>
  <si>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</si>
  <si>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</si>
  <si>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</si>
  <si>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</si>
  <si>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</si>
  <si>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</si>
  <si>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</si>
  <si>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</si>
  <si>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</si>
  <si>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</si>
  <si>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</si>
  <si>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</si>
  <si>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</si>
  <si>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</si>
  <si>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</si>
  <si>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</si>
  <si>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</si>
  <si>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</si>
  <si>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</si>
  <si>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</si>
  <si>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</si>
  <si>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</si>
  <si>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</si>
  <si>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</si>
  <si>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</si>
  <si>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</si>
  <si>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</si>
  <si>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</si>
  <si>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</si>
  <si>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</si>
  <si>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</si>
  <si>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</si>
  <si>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</si>
  <si>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</si>
  <si>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</si>
  <si>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</si>
  <si>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</si>
  <si>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</si>
  <si>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</si>
  <si>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</si>
  <si>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</si>
  <si>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</si>
  <si>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</si>
  <si>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</si>
  <si>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</si>
  <si>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</si>
  <si>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</si>
  <si>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</si>
  <si>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</si>
  <si>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</si>
  <si>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</si>
  <si>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</si>
  <si>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</si>
  <si>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</si>
  <si>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</si>
  <si>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</si>
  <si>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</si>
  <si>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</si>
  <si>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</si>
  <si>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</si>
  <si>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</si>
  <si>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</si>
  <si>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</si>
  <si>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</si>
  <si>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</si>
  <si>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</si>
  <si>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</si>
  <si>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</si>
  <si>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</si>
  <si>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</si>
  <si>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</si>
  <si>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</si>
  <si>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</si>
  <si>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</si>
  <si>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</si>
  <si>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</si>
  <si>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</si>
  <si>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</si>
  <si>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</si>
  <si>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</si>
  <si>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</si>
  <si>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</si>
  <si>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</si>
  <si>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</si>
  <si>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</si>
  <si>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</si>
  <si>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</si>
  <si>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</si>
  <si>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</si>
  <si>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</si>
  <si>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</si>
  <si>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</si>
  <si>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</si>
  <si>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</si>
  <si>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</si>
  <si>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</si>
  <si>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</si>
  <si>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</si>
  <si>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</si>
  <si>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</si>
  <si>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</si>
  <si>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</si>
  <si>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</si>
  <si>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</si>
  <si>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</si>
  <si>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</si>
  <si>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</si>
  <si>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</si>
  <si>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</si>
  <si>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</si>
  <si>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</si>
  <si>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</si>
  <si>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</si>
  <si>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</si>
  <si>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</si>
  <si>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</si>
  <si>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</si>
  <si>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</si>
  <si>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</si>
  <si>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</si>
  <si>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</si>
  <si>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</si>
  <si>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</si>
  <si>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</si>
  <si>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</si>
  <si>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</si>
  <si>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</si>
  <si>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</si>
  <si>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</si>
  <si>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</si>
  <si>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</si>
  <si>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</si>
  <si>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</si>
  <si>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</si>
  <si>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</si>
  <si>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</si>
  <si>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</si>
  <si>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</si>
  <si>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</si>
  <si>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</si>
  <si>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</si>
  <si>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</si>
  <si>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</si>
  <si>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</si>
  <si>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</si>
  <si>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</si>
  <si>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</si>
  <si>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</si>
  <si>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</si>
  <si>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</si>
  <si>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</si>
  <si>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</si>
  <si>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</si>
  <si>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</si>
  <si>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</si>
  <si>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</si>
  <si>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</si>
  <si>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</si>
  <si>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</si>
  <si>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</si>
  <si>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</si>
  <si>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</si>
  <si>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</si>
  <si>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</si>
  <si>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</si>
  <si>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</si>
  <si>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</si>
  <si>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</si>
  <si>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</si>
  <si>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</si>
  <si>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</si>
  <si>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</si>
  <si>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</si>
  <si>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</si>
  <si>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</si>
  <si>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</si>
  <si>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</si>
  <si>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</si>
  <si>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</si>
  <si>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</si>
  <si>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</si>
  <si>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</si>
  <si>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</si>
  <si>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</si>
  <si>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</si>
  <si>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</si>
  <si>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</si>
  <si>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</si>
  <si>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</si>
  <si>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</si>
  <si>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</si>
  <si>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</si>
  <si>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</si>
  <si>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</si>
  <si>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</si>
  <si>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</si>
  <si>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</si>
  <si>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</si>
  <si>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</si>
  <si>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</si>
  <si>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</si>
  <si>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</si>
  <si>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</si>
  <si>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</si>
  <si>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</si>
  <si>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</si>
  <si>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</si>
  <si>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</si>
  <si>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</si>
  <si>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</si>
  <si>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</si>
  <si>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</si>
  <si>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</si>
  <si>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</si>
  <si>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</si>
  <si>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</si>
  <si>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</si>
  <si>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</si>
  <si>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</si>
  <si>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</si>
  <si>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</si>
  <si>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</si>
  <si>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</si>
  <si>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</si>
  <si>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</si>
  <si>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</si>
  <si>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</si>
  <si>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</si>
  <si>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</si>
  <si>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</si>
  <si>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</si>
  <si>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</si>
  <si>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</si>
  <si>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</si>
  <si>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</si>
  <si>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</si>
  <si>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</si>
  <si>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</si>
  <si>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</si>
  <si>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</si>
  <si>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</si>
  <si>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</si>
  <si>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</si>
  <si>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</si>
  <si>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</si>
  <si>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</si>
  <si>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</si>
  <si>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</si>
  <si>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</si>
  <si>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</si>
  <si>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</si>
  <si>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</si>
  <si>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</si>
  <si>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</si>
  <si>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</si>
  <si>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</si>
  <si>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</si>
  <si>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</si>
  <si>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</si>
  <si>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</si>
  <si>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</si>
  <si>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</si>
  <si>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</si>
  <si>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</si>
  <si>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</si>
  <si>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</si>
  <si>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</si>
  <si>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</si>
  <si>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</si>
  <si>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</si>
  <si>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</si>
  <si>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</si>
  <si>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</si>
  <si>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</si>
  <si>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</si>
  <si>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</si>
  <si>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</si>
  <si>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</si>
  <si>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</si>
  <si>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</si>
  <si>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</si>
  <si>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</si>
  <si>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</si>
  <si>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</si>
  <si>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</si>
  <si>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</si>
  <si>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</si>
  <si>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</si>
  <si>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</si>
  <si>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</si>
  <si>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</si>
  <si>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</si>
  <si>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</si>
  <si>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</si>
  <si>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</si>
  <si>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</si>
  <si>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</si>
  <si>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</si>
  <si>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</si>
  <si>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</si>
  <si>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</si>
  <si>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</si>
  <si>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</si>
  <si>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</si>
  <si>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</si>
  <si>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</si>
  <si>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</si>
  <si>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</si>
  <si>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</si>
  <si>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</si>
  <si>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</si>
  <si>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</si>
  <si>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</si>
  <si>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</si>
  <si>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</si>
  <si>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</si>
  <si>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</si>
  <si>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</si>
  <si>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</si>
  <si>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</si>
  <si>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</si>
  <si>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</si>
  <si>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</si>
  <si>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</si>
  <si>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</si>
  <si>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</si>
  <si>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</si>
  <si>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</si>
  <si>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</si>
  <si>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</si>
  <si>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</si>
  <si>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</si>
  <si>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</si>
  <si>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</si>
  <si>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</si>
  <si>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</si>
  <si>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</si>
  <si>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</si>
  <si>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</si>
  <si>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</si>
  <si>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</si>
  <si>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</si>
  <si>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</si>
  <si>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</si>
  <si>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</si>
  <si>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</si>
  <si>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</si>
  <si>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</si>
  <si>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</si>
  <si>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</si>
  <si>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</si>
  <si>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</si>
  <si>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</si>
  <si>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</si>
  <si>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</si>
  <si>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</si>
  <si>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</si>
  <si>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</si>
  <si>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</si>
  <si>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</si>
  <si>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</si>
  <si>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</si>
  <si>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</si>
  <si>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</si>
  <si>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</si>
  <si>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</si>
  <si>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</si>
  <si>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</si>
  <si>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</si>
  <si>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</si>
  <si>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</si>
  <si>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</si>
  <si>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</si>
  <si>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</si>
  <si>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</si>
  <si>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</si>
  <si>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</si>
  <si>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</si>
  <si>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</si>
  <si>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</si>
  <si>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</si>
  <si>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</si>
  <si>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</si>
  <si>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</si>
  <si>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</si>
  <si>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</si>
  <si>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</si>
  <si>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</si>
  <si>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</si>
  <si>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</si>
  <si>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</si>
  <si>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</si>
  <si>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</si>
  <si>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</si>
  <si>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</si>
  <si>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</si>
  <si>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</si>
  <si>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</si>
  <si>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</si>
  <si>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</si>
  <si>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</si>
  <si>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</si>
  <si>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</si>
  <si>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</si>
  <si>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</si>
  <si>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</si>
  <si>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</si>
  <si>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</si>
  <si>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</si>
  <si>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</si>
  <si>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</si>
  <si>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</si>
  <si>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</si>
  <si>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</si>
  <si>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</si>
  <si>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</si>
  <si>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</si>
  <si>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</si>
  <si>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</si>
  <si>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</si>
  <si>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</si>
  <si>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</si>
  <si>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</si>
  <si>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</si>
  <si>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</si>
  <si>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</si>
  <si>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</si>
  <si>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</si>
  <si>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</si>
  <si>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</si>
  <si>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</si>
  <si>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</si>
  <si>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</si>
  <si>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</si>
  <si>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</si>
  <si>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</si>
  <si>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</si>
  <si>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</si>
  <si>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</si>
  <si>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</si>
  <si>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</si>
  <si>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</si>
  <si>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</si>
  <si>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</si>
  <si>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</si>
  <si>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</si>
  <si>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</si>
  <si>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</si>
  <si>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</si>
  <si>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</si>
  <si>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</si>
  <si>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</si>
  <si>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</si>
  <si>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</si>
  <si>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</si>
  <si>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</si>
  <si>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</si>
  <si>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</si>
  <si>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</si>
  <si>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</si>
  <si>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</si>
  <si>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</si>
  <si>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</si>
  <si>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</si>
  <si>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</si>
  <si>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</si>
  <si>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</si>
  <si>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</si>
  <si>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</si>
  <si>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</si>
  <si>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</si>
  <si>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</si>
  <si>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</si>
  <si>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</si>
  <si>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</si>
  <si>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</si>
  <si>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</si>
  <si>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</si>
  <si>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</si>
  <si>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</si>
  <si>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</si>
  <si>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</si>
  <si>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</si>
  <si>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</si>
  <si>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</si>
  <si>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</si>
  <si>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</si>
  <si>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</si>
  <si>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</si>
  <si>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</si>
  <si>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</si>
  <si>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</si>
  <si>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</si>
  <si>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</si>
  <si>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</si>
  <si>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</si>
  <si>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</si>
  <si>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</si>
  <si>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</si>
  <si>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</si>
  <si>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</si>
  <si>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</si>
  <si>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</si>
  <si>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</si>
  <si>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</si>
  <si>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</si>
  <si>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</si>
  <si>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</si>
  <si>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</si>
  <si>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</si>
  <si>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</si>
  <si>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</si>
  <si>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</si>
  <si>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</si>
  <si>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</si>
  <si>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</si>
  <si>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</si>
  <si>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</si>
  <si>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</si>
  <si>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</si>
  <si>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</si>
  <si>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</si>
  <si>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</si>
  <si>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</si>
  <si>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</si>
  <si>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</si>
  <si>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</si>
  <si>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</si>
  <si>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</si>
  <si>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</si>
  <si>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</si>
  <si>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</si>
  <si>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</si>
  <si>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</si>
  <si>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</si>
  <si>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</si>
  <si>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</si>
  <si>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</si>
  <si>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</si>
  <si>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</si>
  <si>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</si>
  <si>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</si>
  <si>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</si>
  <si>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</si>
  <si>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</si>
  <si>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</si>
  <si>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</si>
  <si>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</si>
  <si>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</si>
  <si>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</si>
  <si>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</si>
  <si>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</si>
  <si>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</si>
  <si>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</si>
  <si>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</si>
  <si>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</si>
  <si>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</si>
  <si>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</si>
  <si>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</si>
  <si>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</si>
  <si>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</si>
  <si>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</si>
  <si>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</si>
  <si>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</si>
  <si>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</si>
  <si>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</si>
  <si>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</si>
  <si>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</si>
  <si>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</si>
  <si>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</si>
  <si>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</si>
  <si>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</si>
  <si>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</si>
  <si>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</si>
  <si>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</si>
  <si>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</si>
  <si>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</si>
  <si>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</si>
  <si>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</si>
  <si>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</si>
  <si>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</si>
  <si>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</si>
  <si>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</si>
  <si>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</si>
  <si>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</si>
  <si>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</si>
  <si>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</si>
  <si>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</si>
  <si>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</si>
  <si>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</si>
  <si>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</si>
  <si>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</si>
  <si>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</si>
  <si>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</si>
  <si>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</si>
  <si>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</si>
  <si>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</si>
  <si>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</si>
  <si>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</si>
  <si>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</si>
  <si>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</si>
  <si>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</si>
  <si>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</si>
  <si>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</si>
  <si>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</si>
  <si>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</si>
  <si>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</si>
  <si>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</si>
  <si>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</si>
  <si>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</si>
  <si>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</si>
  <si>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</si>
  <si>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</si>
  <si>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</si>
  <si>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</si>
  <si>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</si>
  <si>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</si>
  <si>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</si>
  <si>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</si>
  <si>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</si>
  <si>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</si>
  <si>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</si>
  <si>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</si>
  <si>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</si>
  <si>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</si>
  <si>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</si>
  <si>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</si>
  <si>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</si>
  <si>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</si>
  <si>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</si>
  <si>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</si>
  <si>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</si>
  <si>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</si>
  <si>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</si>
  <si>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</si>
  <si>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</si>
  <si>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</si>
  <si>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</si>
  <si>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</si>
  <si>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</si>
  <si>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</si>
  <si>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</si>
  <si>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</si>
  <si>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</si>
  <si>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</si>
  <si>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</si>
  <si>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</si>
  <si>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</si>
  <si>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</si>
  <si>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</si>
  <si>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</si>
  <si>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</si>
  <si>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</si>
  <si>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</si>
  <si>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</si>
  <si>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</si>
  <si>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</si>
  <si>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</si>
  <si>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</si>
  <si>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</si>
  <si>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</si>
  <si>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</si>
  <si>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</si>
  <si>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</si>
  <si>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</si>
  <si>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</si>
  <si>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</si>
  <si>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</si>
  <si>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</si>
  <si>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</si>
  <si>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</si>
  <si>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</si>
  <si>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</si>
  <si>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</si>
  <si>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</si>
  <si>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</si>
  <si>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</si>
  <si>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</si>
  <si>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</si>
  <si>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</si>
  <si>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</si>
  <si>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</si>
  <si>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</si>
  <si>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</si>
  <si>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</si>
  <si>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</si>
  <si>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</si>
  <si>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</si>
  <si>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</si>
  <si>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</si>
  <si>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</si>
  <si>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</si>
  <si>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</si>
  <si>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</si>
  <si>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</si>
  <si>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</si>
  <si>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</si>
  <si>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</si>
  <si>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</si>
  <si>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</si>
  <si>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</si>
  <si>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</si>
  <si>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</si>
  <si>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</si>
  <si>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</si>
  <si>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</si>
  <si>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</si>
  <si>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</si>
  <si>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</si>
  <si>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</si>
  <si>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</si>
  <si>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</si>
  <si>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</si>
  <si>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</si>
  <si>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</si>
  <si>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</si>
  <si>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</si>
  <si>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</si>
  <si>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</si>
  <si>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</si>
  <si>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</si>
  <si>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</si>
  <si>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</si>
  <si>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</si>
  <si>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</si>
  <si>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</si>
  <si>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</si>
  <si>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</si>
  <si>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</si>
  <si>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</si>
  <si>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</si>
  <si>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</si>
  <si>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</si>
  <si>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</si>
  <si>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</si>
  <si>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</si>
  <si>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</si>
  <si>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</si>
  <si>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</si>
  <si>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</si>
  <si>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</si>
  <si>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</si>
  <si>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</si>
  <si>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</si>
  <si>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</si>
  <si>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</si>
  <si>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</si>
  <si>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</si>
  <si>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</si>
  <si>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</si>
  <si>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</si>
  <si>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</si>
  <si>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</si>
  <si>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</si>
  <si>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</si>
  <si>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</si>
  <si>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</si>
  <si>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</si>
  <si>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</si>
  <si>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</si>
  <si>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</si>
  <si>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</si>
  <si>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</si>
  <si>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</si>
  <si>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</si>
  <si>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</si>
  <si>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</si>
  <si>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</si>
  <si>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</si>
  <si>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</si>
  <si>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</si>
  <si>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</si>
  <si>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</si>
  <si>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</si>
  <si>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</si>
  <si>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</si>
  <si>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</si>
  <si>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</si>
  <si>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</si>
  <si>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</si>
  <si>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</si>
  <si>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</si>
  <si>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</si>
  <si>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</si>
  <si>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</si>
  <si>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</si>
  <si>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</si>
  <si>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</si>
  <si>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</si>
  <si>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</si>
  <si>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</si>
  <si>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</si>
  <si>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</si>
  <si>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</si>
  <si>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</si>
  <si>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</si>
  <si>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</si>
  <si>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</si>
  <si>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</si>
  <si>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</si>
  <si>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</si>
  <si>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</si>
  <si>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</si>
  <si>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</si>
  <si>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</si>
  <si>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</si>
  <si>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</si>
  <si>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</si>
  <si>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</si>
  <si>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</si>
  <si>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</si>
  <si>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</si>
  <si>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</si>
  <si>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</si>
  <si>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</si>
  <si>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</si>
  <si>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</si>
  <si>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</si>
  <si>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</si>
  <si>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</si>
  <si>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</si>
  <si>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</si>
  <si>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</si>
  <si>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</si>
  <si>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</si>
  <si>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</si>
  <si>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</si>
  <si>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</si>
  <si>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</si>
  <si>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</si>
  <si>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</si>
  <si>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</si>
  <si>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</si>
  <si>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</si>
  <si>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</si>
  <si>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</si>
  <si>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</si>
  <si>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</si>
  <si>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</si>
  <si>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</si>
  <si>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</si>
  <si>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</si>
  <si>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</si>
  <si>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</si>
  <si>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</si>
  <si>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</si>
  <si>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</si>
  <si>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</si>
  <si>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</si>
  <si>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</si>
  <si>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</si>
  <si>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</si>
  <si>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</si>
  <si>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</si>
  <si>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</si>
  <si>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</si>
  <si>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</si>
  <si>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</si>
  <si>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</si>
  <si>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</si>
  <si>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</si>
  <si>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</si>
  <si>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</si>
  <si>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</si>
  <si>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</si>
  <si>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</si>
  <si>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</si>
  <si>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</si>
  <si>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</si>
  <si>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</si>
  <si>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</si>
  <si>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</si>
  <si>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</si>
  <si>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</si>
  <si>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</si>
  <si>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</si>
  <si>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</si>
  <si>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</si>
  <si>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</si>
  <si>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</si>
  <si>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</si>
  <si>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</si>
  <si>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</si>
  <si>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</si>
  <si>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</si>
  <si>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</si>
  <si>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</si>
  <si>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</si>
  <si>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</si>
  <si>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</si>
  <si>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</si>
  <si>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</si>
  <si>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</si>
  <si>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</si>
  <si>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</si>
  <si>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</si>
  <si>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</si>
  <si>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</si>
  <si>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</si>
  <si>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</si>
  <si>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</si>
  <si>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</si>
  <si>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</si>
  <si>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</si>
  <si>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</si>
  <si>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</si>
  <si>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</si>
  <si>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</si>
  <si>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</si>
  <si>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</si>
  <si>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</si>
  <si>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</si>
  <si>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</si>
  <si>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</si>
  <si>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</si>
  <si>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</si>
  <si>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</si>
  <si>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</si>
  <si>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</si>
  <si>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</si>
  <si>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</si>
  <si>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</si>
  <si>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</si>
  <si>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</si>
  <si>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</si>
  <si>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</si>
  <si>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</si>
  <si>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</si>
  <si>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</si>
  <si>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</si>
  <si>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</si>
  <si>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</si>
  <si>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</si>
  <si>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</si>
  <si>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</si>
  <si>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</si>
  <si>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</si>
  <si>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</si>
  <si>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</si>
  <si>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</si>
  <si>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</si>
  <si>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</si>
  <si>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</si>
  <si>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</si>
  <si>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</si>
  <si>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</si>
  <si>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</si>
  <si>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</si>
  <si>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</si>
  <si>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</si>
  <si>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</si>
  <si>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</si>
  <si>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</si>
  <si>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</si>
  <si>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</si>
  <si>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</si>
  <si>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</si>
  <si>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</si>
  <si>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</si>
  <si>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</si>
  <si>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</si>
  <si>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</si>
  <si>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</si>
  <si>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</si>
  <si>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</si>
  <si>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</si>
  <si>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</si>
  <si>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</si>
  <si>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</si>
  <si>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</si>
  <si>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</si>
  <si>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</si>
  <si>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</si>
  <si>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</si>
  <si>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</si>
  <si>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</si>
  <si>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</si>
  <si>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</si>
  <si>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</si>
  <si>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</si>
  <si>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</si>
  <si>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</si>
  <si>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</si>
  <si>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</si>
  <si>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</si>
  <si>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</si>
  <si>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</si>
  <si>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</si>
  <si>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</si>
  <si>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</si>
  <si>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</si>
  <si>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</si>
  <si>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</si>
  <si>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</si>
  <si>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</si>
  <si>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</si>
  <si>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</si>
  <si>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</si>
  <si>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</si>
  <si>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</si>
  <si>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</si>
  <si>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</si>
  <si>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</si>
  <si>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</si>
  <si>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</si>
  <si>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</si>
  <si>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</si>
  <si>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</si>
  <si>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</si>
  <si>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</si>
  <si>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</si>
  <si>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</si>
  <si>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</si>
  <si>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</si>
  <si>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</si>
  <si>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</si>
  <si>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</si>
  <si>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</si>
  <si>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</si>
  <si>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</si>
  <si>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</si>
  <si>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</si>
  <si>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</si>
  <si>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</si>
  <si>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</si>
  <si>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</si>
  <si>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</si>
  <si>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</si>
  <si>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</si>
  <si>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</si>
  <si>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</si>
  <si>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</si>
  <si>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</si>
  <si>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</si>
  <si>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</si>
  <si>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</si>
  <si>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</si>
  <si>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</si>
  <si>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</si>
  <si>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</si>
  <si>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</si>
  <si>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</si>
  <si>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</si>
  <si>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</si>
  <si>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</si>
  <si>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</si>
  <si>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</si>
  <si>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</si>
  <si>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</si>
  <si>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</si>
  <si>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</si>
  <si>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</si>
  <si>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</si>
  <si>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</si>
  <si>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</si>
  <si>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</si>
  <si>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</si>
  <si>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</si>
  <si>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</si>
  <si>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</si>
  <si>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</si>
  <si>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</si>
  <si>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</si>
  <si>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</si>
  <si>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</si>
  <si>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</si>
  <si>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</si>
  <si>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</si>
  <si>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</si>
  <si>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</si>
  <si>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</si>
  <si>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</si>
  <si>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</si>
  <si>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</si>
  <si>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</si>
  <si>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</si>
  <si>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</si>
  <si>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</si>
  <si>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</si>
  <si>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</si>
  <si>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</si>
  <si>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</si>
  <si>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</si>
  <si>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</si>
  <si>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</si>
  <si>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</si>
  <si>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</si>
  <si>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</si>
  <si>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</si>
  <si>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</si>
  <si>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</si>
  <si>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</si>
  <si>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</si>
  <si>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</si>
  <si>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</si>
  <si>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</si>
  <si>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</si>
  <si>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</si>
  <si>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</si>
  <si>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</si>
  <si>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</si>
  <si>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</si>
  <si>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</si>
  <si>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</si>
  <si>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</si>
  <si>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</si>
  <si>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</si>
  <si>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</si>
  <si>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</si>
  <si>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</si>
  <si>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</si>
  <si>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</si>
  <si>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</si>
  <si>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</si>
  <si>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</si>
  <si>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</si>
  <si>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</si>
  <si>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</si>
  <si>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</si>
  <si>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</si>
  <si>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</si>
  <si>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</si>
  <si>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</si>
  <si>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</si>
  <si>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</si>
  <si>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</si>
  <si>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</si>
  <si>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</si>
  <si>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</si>
  <si>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</si>
  <si>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</si>
  <si>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</si>
  <si>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</si>
  <si>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</si>
  <si>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</si>
  <si>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</si>
  <si>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</si>
  <si>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</si>
  <si>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</si>
  <si>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</si>
  <si>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</si>
  <si>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</si>
  <si>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</si>
  <si>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</si>
  <si>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</si>
  <si>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</si>
  <si>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</si>
  <si>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</si>
  <si>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</si>
  <si>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</si>
  <si>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</si>
  <si>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</si>
  <si>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</si>
  <si>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</si>
  <si>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</si>
  <si>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</si>
  <si>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</si>
  <si>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</si>
  <si>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</si>
  <si>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</si>
  <si>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</si>
  <si>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</si>
  <si>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</si>
  <si>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</si>
  <si>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</si>
  <si>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</si>
  <si>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</si>
  <si>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</si>
  <si>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</si>
  <si>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</si>
  <si>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</si>
  <si>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</si>
  <si>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</si>
  <si>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</si>
  <si>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</si>
  <si>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</si>
  <si>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</si>
  <si>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</si>
  <si>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</si>
  <si>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</si>
  <si>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</si>
  <si>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</si>
  <si>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</si>
  <si>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</si>
  <si>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</si>
  <si>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</si>
  <si>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</si>
  <si>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</si>
  <si>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</si>
  <si>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</si>
  <si>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</si>
  <si>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</si>
  <si>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</si>
  <si>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</si>
  <si>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</si>
  <si>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</si>
  <si>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</si>
  <si>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</si>
  <si>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</si>
  <si>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</si>
  <si>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</si>
  <si>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</si>
  <si>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</si>
  <si>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</si>
  <si>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</si>
  <si>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</si>
  <si>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</si>
  <si>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</si>
  <si>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</si>
  <si>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</si>
  <si>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</si>
  <si>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</si>
  <si>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</si>
  <si>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</si>
  <si>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</si>
  <si>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</si>
  <si>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</si>
  <si>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</si>
  <si>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</si>
  <si>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</si>
  <si>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</si>
  <si>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</si>
  <si>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</si>
  <si>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</si>
  <si>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</si>
  <si>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</si>
  <si>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</si>
  <si>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</si>
  <si>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</si>
  <si>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</si>
  <si>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</si>
  <si>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</si>
  <si>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</si>
  <si>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</si>
  <si>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</si>
  <si>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</si>
  <si>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</si>
  <si>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</si>
  <si>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</si>
  <si>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</si>
  <si>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</si>
  <si>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</si>
  <si>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</si>
  <si>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</si>
  <si>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</si>
  <si>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</si>
  <si>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</si>
  <si>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</si>
  <si>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</si>
  <si>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</si>
  <si>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</si>
  <si>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</si>
  <si>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</si>
  <si>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</si>
  <si>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</si>
  <si>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</si>
  <si>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</si>
  <si>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</si>
  <si>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</si>
  <si>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</si>
  <si>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</si>
  <si>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</si>
  <si>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</si>
  <si>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</si>
  <si>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</si>
  <si>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</si>
  <si>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</si>
  <si>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</si>
  <si>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</si>
  <si>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</si>
  <si>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</si>
  <si>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</si>
  <si>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</si>
  <si>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</si>
  <si>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</si>
  <si>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</si>
  <si>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</si>
  <si>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</si>
  <si>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</si>
  <si>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</si>
  <si>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</si>
  <si>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</si>
  <si>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</si>
  <si>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</si>
  <si>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</si>
  <si>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</si>
  <si>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</si>
  <si>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</si>
  <si>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</si>
  <si>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</si>
  <si>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</si>
  <si>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</si>
  <si>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</si>
  <si>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</si>
  <si>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</si>
  <si>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</si>
  <si>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</si>
  <si>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</si>
  <si>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</si>
  <si>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</si>
  <si>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</si>
  <si>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</si>
  <si>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</si>
  <si>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</si>
  <si>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</si>
  <si>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</si>
  <si>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</si>
  <si>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</si>
  <si>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</si>
  <si>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</si>
  <si>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</si>
  <si>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</si>
  <si>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</si>
  <si>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</si>
  <si>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</si>
  <si>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</si>
  <si>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</si>
  <si>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</si>
  <si>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</si>
  <si>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</si>
  <si>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</si>
  <si>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</si>
  <si>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</si>
  <si>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</si>
  <si>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</si>
  <si>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</si>
  <si>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</si>
  <si>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</si>
  <si>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</si>
  <si>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</si>
  <si>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</si>
  <si>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</si>
  <si>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</si>
  <si>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</si>
  <si>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</si>
  <si>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</si>
  <si>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</si>
  <si>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</si>
  <si>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</si>
  <si>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</si>
  <si>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</si>
  <si>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</si>
  <si>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</si>
  <si>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</si>
  <si>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</si>
  <si>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</si>
  <si>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</si>
  <si>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</si>
  <si>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</si>
  <si>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</si>
  <si>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</si>
  <si>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</si>
  <si>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</si>
  <si>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</si>
  <si>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</si>
  <si>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</si>
  <si>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</si>
  <si>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</si>
  <si>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</si>
  <si>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</si>
  <si>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</si>
  <si>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</si>
  <si>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</si>
  <si>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</si>
  <si>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</si>
  <si>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</si>
  <si>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</si>
  <si>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</si>
  <si>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</si>
  <si>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</si>
  <si>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</si>
  <si>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</si>
  <si>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</si>
  <si>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</si>
  <si>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</si>
  <si>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</si>
  <si>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</si>
  <si>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</si>
  <si>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</si>
  <si>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</si>
  <si>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</si>
  <si>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</si>
  <si>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</si>
  <si>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</si>
  <si>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</si>
  <si>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</si>
  <si>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</si>
  <si>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</si>
  <si>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</si>
  <si>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</si>
  <si>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</si>
  <si>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</si>
  <si>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</si>
  <si>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</si>
  <si>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</si>
  <si>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</si>
  <si>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</si>
  <si>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</si>
  <si>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</si>
  <si>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</si>
  <si>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</si>
  <si>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</si>
  <si>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</si>
  <si>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</si>
  <si>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</si>
  <si>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</si>
  <si>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</si>
  <si>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</si>
  <si>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</si>
  <si>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</si>
  <si>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</si>
  <si>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</si>
  <si>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</si>
  <si>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</si>
  <si>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</si>
  <si>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</si>
  <si>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</si>
  <si>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</si>
  <si>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</si>
  <si>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</si>
  <si>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</si>
  <si>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</si>
  <si>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</si>
  <si>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</si>
  <si>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</si>
  <si>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</si>
  <si>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</si>
  <si>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</si>
  <si>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</si>
  <si>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</si>
  <si>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</si>
  <si>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</si>
  <si>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</si>
  <si>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</si>
  <si>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</si>
  <si>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</si>
  <si>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</si>
  <si>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</si>
  <si>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</si>
  <si>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</si>
  <si>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</si>
  <si>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</si>
  <si>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</si>
  <si>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</si>
  <si>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</si>
  <si>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</si>
  <si>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</si>
  <si>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</si>
  <si>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</si>
  <si>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</si>
  <si>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</si>
  <si>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</si>
  <si>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</si>
  <si>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</si>
  <si>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</si>
  <si>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</si>
  <si>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</si>
  <si>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</si>
  <si>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</si>
  <si>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</si>
  <si>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</si>
  <si>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</si>
  <si>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</si>
  <si>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</si>
  <si>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</si>
  <si>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</si>
  <si>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</si>
  <si>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</si>
  <si>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</si>
  <si>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</si>
  <si>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</si>
  <si>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</si>
  <si>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</si>
  <si>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</si>
  <si>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</si>
  <si>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</si>
  <si>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</si>
  <si>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</si>
  <si>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</si>
  <si>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</si>
  <si>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</si>
  <si>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</si>
  <si>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</si>
  <si>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</si>
  <si>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</si>
  <si>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</si>
  <si>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</si>
  <si>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</si>
  <si>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</si>
  <si>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</si>
  <si>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</si>
  <si>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</si>
  <si>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</si>
  <si>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</si>
  <si>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</si>
  <si>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</si>
  <si>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</si>
  <si>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</si>
  <si>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</si>
  <si>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</si>
  <si>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</si>
  <si>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</si>
  <si>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</si>
  <si>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</si>
  <si>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</si>
  <si>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</si>
  <si>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</si>
  <si>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</si>
  <si>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</si>
  <si>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</si>
  <si>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</si>
  <si>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</si>
  <si>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</si>
  <si>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</si>
  <si>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</si>
  <si>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</si>
  <si>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</si>
  <si>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</si>
  <si>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</si>
  <si>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</si>
  <si>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</si>
  <si>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</si>
  <si>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</si>
  <si>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</si>
  <si>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</si>
  <si>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</si>
  <si>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</si>
  <si>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</si>
  <si>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</si>
  <si>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</si>
  <si>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</si>
  <si>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</si>
  <si>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</si>
  <si>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</si>
  <si>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</si>
  <si>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</si>
  <si>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</si>
  <si>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</si>
  <si>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</si>
  <si>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</si>
  <si>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</si>
  <si>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</si>
  <si>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</si>
  <si>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</si>
  <si>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</si>
  <si>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</si>
  <si>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</si>
  <si>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</si>
  <si>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</si>
  <si>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</si>
  <si>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</si>
  <si>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</si>
  <si>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</si>
  <si>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</si>
  <si>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</si>
  <si>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</si>
  <si>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</si>
  <si>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</si>
  <si>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</si>
  <si>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</si>
  <si>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</si>
  <si>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</si>
  <si>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</si>
  <si>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</si>
  <si>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</si>
  <si>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</si>
  <si>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</si>
  <si>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</si>
  <si>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</si>
  <si>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</si>
  <si>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</si>
  <si>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</si>
  <si>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</si>
  <si>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</si>
  <si>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</si>
  <si>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</si>
  <si>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</si>
  <si>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</si>
  <si>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</si>
  <si>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</si>
  <si>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</si>
  <si>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</si>
  <si>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</si>
  <si>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</si>
  <si>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</si>
  <si>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</si>
  <si>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</si>
  <si>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</si>
  <si>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</si>
  <si>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</si>
  <si>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</si>
  <si>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</si>
  <si>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</si>
  <si>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</si>
  <si>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</si>
  <si>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</si>
  <si>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</si>
  <si>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</si>
  <si>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</si>
  <si>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</si>
  <si>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</si>
  <si>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</si>
  <si>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</si>
  <si>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</si>
  <si>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</si>
  <si>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</si>
  <si>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</si>
  <si>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</si>
  <si>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</si>
  <si>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</si>
  <si>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</si>
  <si>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</si>
  <si>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</si>
  <si>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</si>
  <si>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</si>
  <si>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</si>
  <si>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</si>
  <si>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</si>
  <si>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</si>
  <si>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</si>
  <si>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</si>
  <si>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</si>
  <si>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</si>
  <si>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</si>
  <si>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</si>
  <si>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</si>
  <si>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</si>
  <si>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</si>
  <si>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</si>
  <si>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</si>
  <si>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</si>
  <si>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</si>
  <si>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</si>
  <si>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</si>
  <si>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</si>
  <si>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</si>
  <si>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</si>
  <si>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</si>
  <si>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</si>
  <si>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</si>
  <si>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</si>
  <si>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</si>
  <si>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</si>
  <si>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</si>
  <si>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</si>
  <si>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</si>
  <si>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</si>
  <si>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</si>
  <si>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</si>
  <si>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</si>
  <si>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</si>
  <si>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</si>
  <si>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</si>
  <si>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</si>
  <si>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</si>
  <si>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</si>
  <si>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</si>
  <si>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</si>
  <si>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</si>
  <si>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</si>
  <si>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</si>
  <si>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</si>
  <si>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</si>
  <si>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</si>
  <si>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</si>
  <si>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</si>
  <si>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</si>
  <si>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</si>
  <si>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</si>
  <si>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</si>
  <si>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</si>
  <si>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</si>
  <si>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</si>
  <si>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</si>
  <si>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</si>
  <si>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</si>
  <si>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</si>
  <si>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CTEMPEU_1000PL80GHR223</t>
  </si>
  <si>
    <t>CTEMPNA_1000PH80GFO122</t>
  </si>
  <si>
    <t>CLFF_1000$$$DE10GMW030</t>
  </si>
  <si>
    <t>CORAERP_MMOR1975.9007</t>
  </si>
  <si>
    <t>CTEMPNA_1000US20GM1000</t>
  </si>
  <si>
    <t>CLFF_1000$$$CN90GHR110</t>
  </si>
  <si>
    <t xml:space="preserve">G000001173 </t>
  </si>
  <si>
    <t>FR7314300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</si>
  <si>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</si>
  <si>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</si>
  <si>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</si>
  <si>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</si>
  <si>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</si>
  <si>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</si>
  <si>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</si>
  <si>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</si>
  <si>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</si>
  <si>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</si>
  <si>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</si>
  <si>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</si>
  <si>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</si>
  <si>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</si>
  <si>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</si>
  <si>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</si>
  <si>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</si>
  <si>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</si>
  <si>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PNEXT_CPRJ-138705 GY3 3 Year ICH Stability Study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</si>
  <si>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</si>
  <si>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</si>
  <si>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</si>
  <si>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</si>
  <si>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</si>
  <si>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</si>
  <si>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</si>
  <si>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</si>
  <si>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</si>
  <si>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</si>
  <si>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</si>
  <si>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</si>
  <si>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</si>
  <si>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</si>
  <si>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</si>
  <si>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</si>
  <si>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</si>
  <si>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</si>
  <si>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</si>
  <si>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</si>
  <si>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</si>
  <si>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</si>
  <si>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</si>
  <si>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</si>
  <si>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</si>
  <si>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</si>
  <si>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</si>
  <si>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</si>
  <si>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</si>
  <si>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</si>
  <si>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</si>
  <si>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</si>
  <si>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</si>
  <si>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</si>
  <si>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</si>
  <si>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FR7317802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</si>
  <si>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</si>
  <si>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</si>
  <si>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</si>
  <si>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</si>
  <si>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</si>
  <si>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</si>
  <si>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</si>
  <si>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</si>
  <si>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</si>
  <si>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</si>
  <si>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</si>
  <si>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</si>
  <si>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</si>
  <si>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</si>
  <si>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</si>
  <si>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</si>
  <si>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</si>
  <si>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</si>
  <si>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</si>
  <si>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</si>
  <si>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</si>
  <si>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</si>
  <si>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</si>
  <si>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FR7318069</t>
  </si>
  <si>
    <t>P000001273 Non-transferring assets</t>
  </si>
  <si>
    <t>P000001268 Brand Development</t>
  </si>
  <si>
    <t>P000001271 SPICE HR</t>
  </si>
  <si>
    <t>L000013187</t>
  </si>
  <si>
    <t>P000001271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</si>
</sst>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</cellStyleXfs>
  <cellXfs count="8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19" fillId="0" borderId="0" xfId="0" applyFont="1" applyAlignment="1">
      <alignment vertical="center"/>
    </xf>
    <xf numFmtId="0" fontId="24" fillId="0" borderId="0" xfId="0" applyFont="1" applyAlignment="1">
      <alignment vertical="center" wrapText="1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84.800397453706" createdVersion="7" refreshedVersion="8" minRefreshableVersion="3" recordCount="1293" xr:uid="{11839AE3-6158-4318-87AD-2C711D0BF451}">
  <cacheSource type="worksheet">
    <worksheetSource name="Proc"/>
  </cacheSource>
  <cacheFields count="19">
    <cacheField name="App" numFmtId="0">
      <sharedItems containsBlank="1" count="137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06T12:35:04"/>
    </cacheField>
    <cacheField name="DateMapped" numFmtId="14">
      <sharedItems containsNonDate="0" containsDate="1" containsString="0" containsBlank="1" minDate="2023-09-01T00:00:00" maxDate="2025-05-08T00:00:00"/>
    </cacheField>
    <cacheField name="DateClosed" numFmtId="14">
      <sharedItems containsNonDate="0" containsDate="1" containsString="0" containsBlank="1" minDate="2023-09-06T00:00:00" maxDate="2025-05-0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98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98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3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69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66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66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66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66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66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66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66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66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66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66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66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66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66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66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66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66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66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66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66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66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66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66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66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66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66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66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66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66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66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66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66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66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66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66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66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66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66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66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66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66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66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65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65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65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4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4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4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4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4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3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3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1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1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0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57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57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57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57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57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57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57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57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1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1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1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46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46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46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46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46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46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46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2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2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2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37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36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36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2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2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1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1"/>
    <x v="5"/>
    <s v="CSCALA_1042$RSCE"/>
    <s v="L000008473"/>
    <m/>
    <s v="Non-LFF"/>
    <s v=""/>
    <m/>
    <b v="0"/>
    <x v="2"/>
    <x v="2"/>
    <d v="2025-05-02T12:11:12"/>
    <m/>
    <m/>
    <x v="0"/>
    <n v="3"/>
    <s v="Noor Jahan Shahin"/>
    <m/>
  </r>
  <r>
    <x v="191"/>
    <x v="1"/>
    <x v="5"/>
    <s v="CTEMPLA_1000UY10120012"/>
    <s v="G000000339"/>
    <s v="G000000277"/>
    <s v="Non-LFF"/>
    <s v=""/>
    <m/>
    <b v="0"/>
    <x v="0"/>
    <x v="2"/>
    <d v="2025-05-05T10:27:28"/>
    <m/>
    <m/>
    <x v="0"/>
    <n v="2"/>
    <s v="Jay-R Lizardo"/>
    <m/>
  </r>
  <r>
    <x v="191"/>
    <x v="1"/>
    <x v="6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m/>
    <m/>
    <x v="0"/>
    <n v="2"/>
    <s v="Jay-R Lizardo"/>
    <m/>
  </r>
  <r>
    <x v="191"/>
    <x v="1"/>
    <x v="6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m/>
    <m/>
    <x v="0"/>
    <n v="2"/>
    <s v="Jay-R Lizardo"/>
    <m/>
  </r>
  <r>
    <x v="191"/>
    <x v="1"/>
    <x v="6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m/>
    <m/>
    <x v="0"/>
    <n v="2"/>
    <s v="Jay-R Lizardo"/>
    <m/>
  </r>
  <r>
    <x v="192"/>
    <x v="1"/>
    <x v="5"/>
    <s v="CNOW_7210$$$0000058205 MY RE COS Expenses"/>
    <s v="L000012908"/>
    <s v="L000010065 Other Supply Chain &amp; Distribution -G"/>
    <s v="Non-LFF"/>
    <s v=""/>
    <m/>
    <b v="0"/>
    <x v="2"/>
    <x v="2"/>
    <d v="2025-05-05T10:29:25"/>
    <m/>
    <m/>
    <x v="0"/>
    <n v="2"/>
    <s v="Ruby Grace Garcia"/>
    <m/>
  </r>
  <r>
    <x v="192"/>
    <x v="1"/>
    <x v="5"/>
    <s v="CNOW_7210$$$0000058208 MY SAFC COS Expenses"/>
    <s v="L000012908"/>
    <s v="L000010065 Other Supply Chain &amp; Distribution -G"/>
    <s v="Non-LFF"/>
    <s v=""/>
    <m/>
    <b v="0"/>
    <x v="2"/>
    <x v="2"/>
    <d v="2025-05-05T10:29:25"/>
    <m/>
    <m/>
    <x v="0"/>
    <n v="2"/>
    <s v="Ruby Grace Garcia"/>
    <m/>
  </r>
  <r>
    <x v="193"/>
    <x v="1"/>
    <x v="5"/>
    <s v="CPHOENX_01010000652050 LS-SC-DNDF Freight Services"/>
    <s v="L000009975"/>
    <s v="L000013693 SLS Tradeshows Team"/>
    <s v="Non-LFF"/>
    <s v=""/>
    <m/>
    <b v="0"/>
    <x v="2"/>
    <x v="2"/>
    <d v="2025-05-05T10:56:12"/>
    <m/>
    <m/>
    <x v="0"/>
    <n v="2"/>
    <s v="Ruby Grace Garcia"/>
    <m/>
  </r>
  <r>
    <x v="194"/>
    <x v="1"/>
    <x v="5"/>
    <s v="PLEAN_X310512SE5020201 Mavenclad Medical Non R&amp;D SE50 Medical E"/>
    <s v="H000000238"/>
    <s v="LEAN_X310512S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SE5022201 Mavenclad Medical Non R&amp;D SE50 Medical C"/>
    <s v="H000000238"/>
    <s v="LEAN_X310512S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SE5023201 Mavenclad Medical Non R&amp;D SE50 Other Med"/>
    <s v="H000000238"/>
    <s v="LEAN_X310512SE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SE5015201 Erbitux Commercial SE50 Other Promo and"/>
    <s v="H000000238"/>
    <s v="LEAN_X310101SE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SE5020201 Erbitux Medical Non R&amp;D SE50 Medical Edu"/>
    <s v="H000000238"/>
    <s v="LEAN_X310102S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SE5022201 Erbitux Medical Non R&amp;D SE50 Medical Con"/>
    <s v="H000000238"/>
    <s v="LEAN_X310102S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SE5020201 Fertility Medical Non R&amp;D SE50 Medical E"/>
    <s v="H000000238"/>
    <s v="LEAN_X310202S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SE5022201 Fertility Medical Non R&amp;D SE50 Medical C"/>
    <s v="H000000238"/>
    <s v="LEAN_X310202S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SE5023201 Fertility Medical Non R&amp;D SE50 Other Med"/>
    <s v="H000000238"/>
    <s v="LEAN_X310202SE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FI5030201 Cardio Commercial FI50 Other M&amp;S Registr"/>
    <s v="H000000220"/>
    <s v="LEAN_X310321FI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FI5021201 Mavenclad Medical Non R&amp;D FI50 Medical D"/>
    <s v="H000000220"/>
    <s v="LEAN_X310512FI502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FI5022201 Mavenclad Medical Non R&amp;D FI50 Medical C"/>
    <s v="H000000220"/>
    <s v="LEAN_X310512FI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FI5023201 Mavenclad Medical Non R&amp;D FI50 Other Med"/>
    <s v="H000000220"/>
    <s v="LEAN_X310512FI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0201 Erbitux Commercial FI50 Promo Material G"/>
    <s v="H000000220"/>
    <s v="LEAN_X310101FI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1201 Erbitux Commercial FI50 Advertising Gene"/>
    <s v="H000000220"/>
    <s v="LEAN_X310101FI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3201 Erbitux Commercial FI50 Congress &amp; Event"/>
    <s v="H000000220"/>
    <s v="LEAN_X310101FI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5201 Erbitux Commercial FI50 Other Promo and"/>
    <s v="H000000220"/>
    <s v="LEAN_X310101FI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30201 Erbitux Commercial FI50 Other M&amp;S Regist"/>
    <s v="H000000220"/>
    <s v="LEAN_X310101FI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FI5020201 Erbitux Medical Non R&amp;D FI50 Medical Edu"/>
    <s v="H000000220"/>
    <s v="LEAN_X310102FI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FI5023201 Erbitux Medical Non R&amp;D FI50 Other Medic"/>
    <s v="H000000220"/>
    <s v="LEAN_X310102FI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FI5020201 Fertility Medical Non R&amp;D FI50 Medical E"/>
    <s v="H000000220"/>
    <s v="LEAN_X310202FI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FI5023201 Fertility Medical Non R&amp;D FI50 Other Med"/>
    <s v="H000000220"/>
    <s v="LEAN_X310202FI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DK5020201 Mavenclad Medical Non R&amp;D DK50 Medical E"/>
    <s v="H000000218"/>
    <s v="LEAN_X310512DK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DK5010201 Erbitux Commercial DK50 Promo Material G"/>
    <s v="H000000218"/>
    <s v="LEAN_X310101DK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DK5013201 Erbitux Commercial DK50 Congress &amp; Event"/>
    <s v="H000000218"/>
    <s v="LEAN_X310101DK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DK5020201 Fertility Medical Non R&amp;D DK50 Medical E"/>
    <s v="H000000218"/>
    <s v="LEAN_X310202DK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DK5023201 Fertility Medical Non R&amp;D DK50 Other Med"/>
    <s v="H000000218"/>
    <s v="LEAN_X310202DK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NO5020201 Mavenclad Medical Non R&amp;D NO50 Medical E"/>
    <s v="H000000233"/>
    <s v="LEAN_X310512NO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NO5022201 Mavenclad Medical Non R&amp;D NO50 Medical C"/>
    <s v="H000000233"/>
    <s v="LEAN_X310512NO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NO5023201 Mavenclad Medical Non R&amp;D NO50 Other Med"/>
    <s v="H000000233"/>
    <s v="LEAN_X310512NO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ITEMPEU_009000002325 FR40IC1786SE3110250000 FR40399017 NORWAY"/>
    <s v="H000000233"/>
    <s v="TEMPEU_1000FR40399017_IO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NO5023201 Erbitux Medical Non R&amp;D NO50 Other Medic"/>
    <s v="H000000233"/>
    <s v="LEAN_X310102NO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NO5020201 Fertility Medical Non R&amp;D NO50 Medical E"/>
    <s v="H000000233"/>
    <s v="LEAN_X310202NO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NO5022201 Fertility Medical Non R&amp;D NO50 Medical C"/>
    <s v="H000000233"/>
    <s v="LEAN_X310202NO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NO5023201 Fertility Medical Non R&amp;D NO50 Other Med"/>
    <s v="H000000233"/>
    <s v="LEAN_X310202NO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EE5020201 Mavenclad Medical Non R&amp;D EE50 Medical E"/>
    <s v="H000000219"/>
    <s v="LEAN_X310512E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EE5022201 Mavenclad Medical Non R&amp;D EE50 Medical C"/>
    <s v="H000000219"/>
    <s v="LEAN_X310512E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EE5020201 Fertility Medical Non R&amp;D EE50 Medical E"/>
    <s v="H000000219"/>
    <s v="LEAN_X310202E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EE5022201 Fertility Medical Non R&amp;D EE50 Medical C"/>
    <s v="H000000219"/>
    <s v="LEAN_X310202E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EE5023201 Fertility Medical Non R&amp;D EE50 Other Med"/>
    <s v="H000000219"/>
    <s v="LEAN_X310202EE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LT5020201 Mavenclad Medical Non R&amp;D LT50 Medical E"/>
    <s v="H000000227"/>
    <s v="LEAN_X310512LT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LT5022201 Fertility Medical Non R&amp;D LT50 Medical C"/>
    <s v="H000000227"/>
    <s v="LEAN_X310202LT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LV5013201 Cardio Commercial LV50 Congress &amp; Events"/>
    <s v="H000000229"/>
    <s v="LEAN_X310321LV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LV5022201 Mavenclad Medical Non R&amp;D LV50 Medical C"/>
    <s v="H000000229"/>
    <s v="LEAN_X310512LV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LV5020201 Fertility Medical Non R&amp;D LV50 Medical E"/>
    <s v="H000000229"/>
    <s v="LEAN_X310202LV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LV5022201 Fertility Medical Non R&amp;D LV50 Medical C"/>
    <s v="H000000229"/>
    <s v="LEAN_X310202LV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31AT5013200 Tepmetko Sponsorings &amp; events"/>
    <s v="H000000211"/>
    <s v="LEAN_X31013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31AT5015200 Tepmetko Promo &amp; advertising"/>
    <s v="H000000211"/>
    <s v="LEAN_X31013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AT5011200 Cardio Advertising"/>
    <s v="H000000211"/>
    <s v="LEAN_X310321AT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AT5013200 Cardio Congresses &amp; events"/>
    <s v="H000000211"/>
    <s v="LEAN_X31032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AT5015200 Cardio Other promotion and advertising"/>
    <s v="H000000211"/>
    <s v="LEAN_X31032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AT5023200 Mavenclad Other medical activities (non-"/>
    <s v="H000000211"/>
    <s v="LEAN_X31051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AT5013200 Erbitux Sponsorings &amp; events"/>
    <s v="H000000211"/>
    <s v="LEAN_X31010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AT5015200 Erbitux Promo &amp; advertising"/>
    <s v="H000000211"/>
    <s v="LEAN_X31010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AT5023200 Erbitux Medical activities"/>
    <s v="H000000211"/>
    <s v="LEAN_X31010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AT5023201 Erbitux Medical congresses"/>
    <s v="H000000211"/>
    <s v="LEAN_X31010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AT5023200 Fertility Other medical activities (non-"/>
    <s v="H000000211"/>
    <s v="LEAN_X31020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AT5020200 Cardio Medical education"/>
    <s v="H000000211"/>
    <s v="LEAN_X310322AT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AT5022200 Cardio Medical consultants"/>
    <s v="H000000211"/>
    <s v="LEAN_X310322AT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AT5023200 Cardio Other medical activities (non-R&amp;D"/>
    <s v="H000000211"/>
    <s v="LEAN_X31032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AT5013200 Thyroids Congresses &amp; events"/>
    <s v="H000000211"/>
    <s v="LEAN_X31033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AT5015200 Thyroids Other promotion and advertising"/>
    <s v="H000000211"/>
    <s v="LEAN_X31033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AT5020200 Thyroids Medical education"/>
    <s v="H000000211"/>
    <s v="LEAN_X310332AT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AT5022200 Thyroids Medical consultants"/>
    <s v="H000000211"/>
    <s v="LEAN_X310332AT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AT5023200 Thyroids Other medical activities (non-R"/>
    <s v="H000000211"/>
    <s v="LEAN_X31033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0201 Cardio Commercial CZ50 Promo Material Ge"/>
    <s v="H000000217"/>
    <s v="LEAN_X310321CZ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1201 Cardio Commercial CZ50 Advertising Gener"/>
    <s v="H000000217"/>
    <s v="LEAN_X310321CZ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3201 Cardio Commercial CZ50 Congress &amp; Events"/>
    <s v="H000000217"/>
    <s v="LEAN_X31032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3202 Cardio Commercial CZ50 Congress &amp; Events"/>
    <s v="H000000217"/>
    <s v="LEAN_X31032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3205 Cardio Commercial CZ50 Congress &amp; Events"/>
    <s v="H000000217"/>
    <s v="LEAN_X31032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5201 Cardio Commercial CZ50 Other Promo and A"/>
    <s v="H000000217"/>
    <s v="LEAN_X31032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5205 Cardio Commercial CZ50 Other Promo and A"/>
    <s v="H000000217"/>
    <s v="LEAN_X31032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30201 Cardio Commercial CZ50 Other M&amp;S Registr"/>
    <s v="H000000217"/>
    <s v="LEAN_X310321CZ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0202 Mavenclad Medical Non R&amp;D CZ50 Medical E"/>
    <s v="H000000217"/>
    <s v="LEAN_X31051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0203 Mavenclad Medical Non R&amp;D CZ50 Medical E"/>
    <s v="H000000217"/>
    <s v="LEAN_X31051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1201 Mavenclad Medical Non R&amp;D CZ50 Medical D"/>
    <s v="H000000217"/>
    <s v="LEAN_X310512CZ502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2201 Mavenclad Medical Non R&amp;D CZ50 Medical C"/>
    <s v="H000000217"/>
    <s v="LEAN_X310512CZ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0201 Erbitux Commercial CZ50 Promo Material G"/>
    <s v="H000000217"/>
    <s v="LEAN_X310101CZ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2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3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4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5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5201 Erbitux Commercial CZ50 Other Promo and"/>
    <s v="H000000217"/>
    <s v="LEAN_X31010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5205 Erbitux Commercial CZ50 Other Promo and"/>
    <s v="H000000217"/>
    <s v="LEAN_X31010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30201 Erbitux Commercial CZ50 Other M&amp;S Regist"/>
    <s v="H000000217"/>
    <s v="LEAN_X310101CZ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1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2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3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6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CZ5020202 Fertility Medical Non R&amp;D CZ50 Medical E"/>
    <s v="H000000217"/>
    <s v="LEAN_X3102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CZ5020206 Fertility Medical Non R&amp;D CZ50 Medical E"/>
    <s v="H000000217"/>
    <s v="LEAN_X3102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CZ5020205 Cardio Medical Non R&amp;D CZ50 Medical Educ"/>
    <s v="H000000217"/>
    <s v="LEAN_X31032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1201 Thyro Commercial CZ50 Advertising Genera"/>
    <s v="H000000217"/>
    <s v="LEAN_X310331CZ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3201 Thyro Commercial CZ50 Congress &amp; Events"/>
    <s v="H000000217"/>
    <s v="LEAN_X31033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3202 Thyro Commercial CZ50 Congress &amp; Events"/>
    <s v="H000000217"/>
    <s v="LEAN_X31033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3205 Thyro Commercial CZ50 Congress &amp; Events"/>
    <s v="H000000217"/>
    <s v="LEAN_X31033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5201 Thyro Commercial CZ50 Other Promo and Ad"/>
    <s v="H000000217"/>
    <s v="LEAN_X31033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5205 Thyro Commercial CZ50 Other Promo and Ad"/>
    <s v="H000000217"/>
    <s v="LEAN_X31033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30201 Thyro Commercial CZ50 Other M&amp;S Registra"/>
    <s v="H000000217"/>
    <s v="LEAN_X310331CZ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CZ5020201 Thyro Medical Non R&amp;D CZ50 Medical Educa"/>
    <s v="H000000217"/>
    <s v="LEAN_X31033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CZ5020205 Thyro Medical Non R&amp;D CZ50 Medical Educa"/>
    <s v="H000000217"/>
    <s v="LEAN_X310332CZ5020000"/>
    <s v="Non-LFF"/>
    <s v=""/>
    <m/>
    <b v="0"/>
    <x v="1"/>
    <x v="2"/>
    <d v="2025-05-05T16:52:04"/>
    <m/>
    <m/>
    <x v="0"/>
    <n v="2"/>
    <s v="Henry Ifurung Jr."/>
    <m/>
  </r>
  <r>
    <x v="195"/>
    <x v="1"/>
    <x v="5"/>
    <s v="CNOW_7210$$$0000051664 "/>
    <s v="G000000145 "/>
    <s v="DFLTPGCOH_BF-C4_002014"/>
    <s v="Non-LFF"/>
    <s v=""/>
    <m/>
    <b v="0"/>
    <x v="0"/>
    <x v="2"/>
    <d v="2025-05-06T12:35:04"/>
    <m/>
    <m/>
    <x v="0"/>
    <n v="1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378">
        <item m="1" x="762"/>
        <item x="0"/>
        <item m="1" x="832"/>
        <item m="1" x="1253"/>
        <item m="1" x="415"/>
        <item m="1" x="1270"/>
        <item m="1" x="792"/>
        <item m="1" x="882"/>
        <item m="1" x="1303"/>
        <item m="1" x="1097"/>
        <item m="1" x="785"/>
        <item m="1" x="1369"/>
        <item m="1" x="1115"/>
        <item m="1" x="1359"/>
        <item m="1" x="733"/>
        <item m="1" x="634"/>
        <item m="1" x="338"/>
        <item m="1" x="599"/>
        <item m="1" x="1323"/>
        <item m="1" x="391"/>
        <item m="1" x="699"/>
        <item m="1" x="1067"/>
        <item m="1" x="782"/>
        <item m="1" x="875"/>
        <item m="1" x="1171"/>
        <item m="1" x="1356"/>
        <item m="1" x="817"/>
        <item m="1" x="839"/>
        <item m="1" x="604"/>
        <item m="1" x="1005"/>
        <item m="1" x="764"/>
        <item m="1" x="1310"/>
        <item m="1" x="967"/>
        <item m="1" x="400"/>
        <item m="1" x="508"/>
        <item m="1" x="1295"/>
        <item m="1" x="1059"/>
        <item m="1" x="313"/>
        <item m="1" x="1145"/>
        <item m="1" x="811"/>
        <item m="1" x="1106"/>
        <item m="1" x="692"/>
        <item m="1" x="1044"/>
        <item m="1" x="303"/>
        <item m="1" x="333"/>
        <item m="1" x="1372"/>
        <item m="1" x="1051"/>
        <item m="1" x="1119"/>
        <item m="1" x="1226"/>
        <item m="1" x="995"/>
        <item m="1" x="1093"/>
        <item m="1" x="932"/>
        <item m="1" x="387"/>
        <item m="1" x="578"/>
        <item m="1" x="1354"/>
        <item m="1" x="922"/>
        <item m="1" x="1062"/>
        <item m="1" x="590"/>
        <item m="1" x="551"/>
        <item m="1" x="843"/>
        <item m="1" x="735"/>
        <item m="1" x="768"/>
        <item m="1" x="327"/>
        <item m="1" x="466"/>
        <item m="1" x="1128"/>
        <item m="1" x="1345"/>
        <item m="1" x="531"/>
        <item m="1" x="936"/>
        <item m="1" x="946"/>
        <item m="1" x="1123"/>
        <item m="1" x="1233"/>
        <item m="1" x="1111"/>
        <item m="1" x="406"/>
        <item m="1" x="1254"/>
        <item m="1" x="984"/>
        <item m="1" x="971"/>
        <item m="1" x="506"/>
        <item m="1" x="859"/>
        <item m="1" x="1206"/>
        <item m="1" x="324"/>
        <item m="1" x="903"/>
        <item m="1" x="1256"/>
        <item m="1" x="1094"/>
        <item m="1" x="829"/>
        <item m="1" x="871"/>
        <item m="1" x="752"/>
        <item m="1" x="987"/>
        <item m="1" x="799"/>
        <item m="1" x="1031"/>
        <item m="1" x="515"/>
        <item m="1" x="1344"/>
        <item m="1" x="869"/>
        <item m="1" x="1155"/>
        <item m="1" x="232"/>
        <item m="1" x="1360"/>
        <item m="1" x="896"/>
        <item m="1" x="1185"/>
        <item m="1" x="1098"/>
        <item m="1" x="876"/>
        <item m="1" x="386"/>
        <item m="1" x="393"/>
        <item m="1" x="433"/>
        <item m="1" x="615"/>
        <item m="1" x="1039"/>
        <item m="1" x="800"/>
        <item m="1" x="916"/>
        <item m="1" x="979"/>
        <item m="1" x="1126"/>
        <item m="1" x="1209"/>
        <item m="1" x="771"/>
        <item m="1" x="492"/>
        <item m="1" x="335"/>
        <item m="1" x="478"/>
        <item m="1" x="1353"/>
        <item m="1" x="510"/>
        <item m="1" x="1191"/>
        <item m="1" x="1120"/>
        <item m="1" x="738"/>
        <item m="1" x="810"/>
        <item m="1" x="676"/>
        <item m="1" x="933"/>
        <item m="1" x="1308"/>
        <item m="1" x="484"/>
        <item m="1" x="432"/>
        <item m="1" x="367"/>
        <item m="1" x="1033"/>
        <item m="1" x="1293"/>
        <item m="1" x="1221"/>
        <item m="1" x="878"/>
        <item m="1" x="402"/>
        <item m="1" x="1127"/>
        <item m="1" x="579"/>
        <item m="1" x="833"/>
        <item m="1" x="1008"/>
        <item m="1" x="1116"/>
        <item m="1" x="236"/>
        <item m="1" x="1065"/>
        <item m="1" x="1028"/>
        <item m="1" x="469"/>
        <item m="1" x="917"/>
        <item m="1" x="805"/>
        <item m="1" x="758"/>
        <item m="1" x="491"/>
        <item m="1" x="427"/>
        <item m="1" x="667"/>
        <item m="1" x="854"/>
        <item m="1" x="261"/>
        <item m="1" x="600"/>
        <item m="1" x="459"/>
        <item m="1" x="201"/>
        <item m="1" x="711"/>
        <item m="1" x="912"/>
        <item m="1" x="794"/>
        <item m="1" x="840"/>
        <item m="1" x="1159"/>
        <item m="1" x="741"/>
        <item m="1" x="1267"/>
        <item m="1" x="991"/>
        <item m="1" x="930"/>
        <item m="1" x="444"/>
        <item m="1" x="1077"/>
        <item m="1" x="1355"/>
        <item m="1" x="1043"/>
        <item m="1" x="1027"/>
        <item m="1" x="314"/>
        <item m="1" x="362"/>
        <item m="1" x="897"/>
        <item m="1" x="403"/>
        <item m="1" x="1340"/>
        <item m="1" x="1006"/>
        <item m="1" x="931"/>
        <item m="1" x="883"/>
        <item m="1" x="684"/>
        <item m="1" x="312"/>
        <item m="1" x="412"/>
        <item m="1" x="518"/>
        <item m="1" x="1251"/>
        <item m="1" x="1283"/>
        <item m="1" x="982"/>
        <item m="1" x="709"/>
        <item m="1" x="797"/>
        <item m="1" x="307"/>
        <item m="1" x="347"/>
        <item m="1" x="686"/>
        <item m="1" x="911"/>
        <item m="1" x="824"/>
        <item m="1" x="482"/>
        <item m="1" x="715"/>
        <item m="1" x="429"/>
        <item m="1" x="624"/>
        <item m="1" x="546"/>
        <item m="1" x="381"/>
        <item m="1" x="517"/>
        <item m="1" x="887"/>
        <item m="1" x="297"/>
        <item m="1" x="536"/>
        <item m="1" x="328"/>
        <item m="1" x="1021"/>
        <item m="1" x="1210"/>
        <item m="1" x="820"/>
        <item m="1" x="464"/>
        <item m="1" x="1114"/>
        <item m="1" x="959"/>
        <item m="1" x="476"/>
        <item m="1" x="477"/>
        <item m="1" x="662"/>
        <item m="1" x="352"/>
        <item m="1" x="541"/>
        <item m="1" x="336"/>
        <item m="1" x="522"/>
        <item m="1" x="1090"/>
        <item m="1" x="601"/>
        <item m="1" x="968"/>
        <item m="1" x="1018"/>
        <item m="1" x="1152"/>
        <item m="1" x="1156"/>
        <item m="1" x="873"/>
        <item m="1" x="714"/>
        <item m="1" x="753"/>
        <item m="1" x="1320"/>
        <item m="1" x="613"/>
        <item m="1" x="425"/>
        <item m="1" x="803"/>
        <item m="1" x="260"/>
        <item m="1" x="1324"/>
        <item m="1" x="787"/>
        <item m="1" x="221"/>
        <item m="1" x="1242"/>
        <item m="1" x="1285"/>
        <item m="1" x="1122"/>
        <item m="1" x="499"/>
        <item m="1" x="238"/>
        <item m="1" x="1172"/>
        <item m="1" x="563"/>
        <item m="1" x="199"/>
        <item m="1" x="1343"/>
        <item m="1" x="587"/>
        <item m="1" x="742"/>
        <item m="1" x="1187"/>
        <item m="1" x="274"/>
        <item m="1" x="1099"/>
        <item m="1" x="907"/>
        <item m="1" x="772"/>
        <item m="1" x="642"/>
        <item m="1" x="389"/>
        <item m="1" x="890"/>
        <item m="1" x="592"/>
        <item m="1" x="1130"/>
        <item m="1" x="452"/>
        <item m="1" x="1200"/>
        <item m="1" x="1207"/>
        <item m="1" x="891"/>
        <item m="1" x="1081"/>
        <item m="1" x="498"/>
        <item m="1" x="795"/>
        <item m="1" x="1084"/>
        <item m="1" x="668"/>
        <item m="1" x="958"/>
        <item m="1" x="597"/>
        <item m="1" x="382"/>
        <item m="1" x="586"/>
        <item m="1" x="1352"/>
        <item m="1" x="1294"/>
        <item m="1" x="439"/>
        <item m="1" x="1240"/>
        <item m="1" x="246"/>
        <item m="1" x="1262"/>
        <item m="1" x="281"/>
        <item m="1" x="583"/>
        <item m="1" x="681"/>
        <item m="1" x="628"/>
        <item m="1" x="1235"/>
        <item m="1" x="1138"/>
        <item m="1" x="379"/>
        <item m="1" x="949"/>
        <item m="1" x="1157"/>
        <item m="1" x="1291"/>
        <item m="1" x="1198"/>
        <item m="1" x="284"/>
        <item m="1" x="1364"/>
        <item m="1" x="435"/>
        <item m="1" x="716"/>
        <item m="1" x="1160"/>
        <item m="1" x="283"/>
        <item m="1" x="1219"/>
        <item m="1" x="448"/>
        <item m="1" x="1092"/>
        <item m="1" x="956"/>
        <item m="1" x="934"/>
        <item m="1" x="513"/>
        <item m="1" x="475"/>
        <item m="1" x="1287"/>
        <item m="1" x="228"/>
        <item m="1" x="410"/>
        <item m="1" x="1069"/>
        <item m="1" x="1180"/>
        <item m="1" x="1107"/>
        <item m="1" x="1311"/>
        <item m="1" x="815"/>
        <item m="1" x="442"/>
        <item m="1" x="562"/>
        <item m="1" x="881"/>
        <item m="1" x="623"/>
        <item m="1" x="951"/>
        <item m="1" x="564"/>
        <item m="1" x="366"/>
        <item m="1" x="1019"/>
        <item m="1" x="421"/>
        <item m="1" x="301"/>
        <item m="1" x="1153"/>
        <item m="1" x="1300"/>
        <item m="1" x="1001"/>
        <item m="1" x="266"/>
        <item m="1" x="1192"/>
        <item m="1" x="990"/>
        <item m="1" x="1100"/>
        <item m="1" x="1239"/>
        <item m="1" x="467"/>
        <item m="1" x="659"/>
        <item m="1" x="497"/>
        <item m="1" x="765"/>
        <item m="1" x="689"/>
        <item m="1" x="719"/>
        <item m="1" x="1255"/>
        <item m="1" x="701"/>
        <item m="1" x="904"/>
        <item m="1" x="436"/>
        <item m="1" x="635"/>
        <item m="1" x="609"/>
        <item m="1" x="952"/>
        <item m="1" x="855"/>
        <item m="1" x="1083"/>
        <item m="1" x="605"/>
        <item m="1" x="1241"/>
        <item m="1" x="443"/>
        <item m="1" x="369"/>
        <item m="1" x="625"/>
        <item m="1" x="1166"/>
        <item m="1" x="276"/>
        <item m="1" x="277"/>
        <item m="1" x="573"/>
        <item m="1" x="1246"/>
        <item m="1" x="640"/>
        <item m="1" x="285"/>
        <item m="1" x="445"/>
        <item m="1" x="687"/>
        <item m="1" x="998"/>
        <item m="1" x="970"/>
        <item m="1" x="641"/>
        <item m="1" x="222"/>
        <item m="1" x="360"/>
        <item m="1" x="572"/>
        <item m="1" x="460"/>
        <item m="1" x="217"/>
        <item m="1" x="1170"/>
        <item m="1" x="1299"/>
        <item m="1" x="769"/>
        <item m="1" x="1199"/>
        <item m="1" x="1259"/>
        <item m="1" x="282"/>
        <item m="1" x="1297"/>
        <item m="1" x="1035"/>
        <item m="1" x="458"/>
        <item m="1" x="644"/>
        <item m="1" x="548"/>
        <item m="1" x="910"/>
        <item m="1" x="481"/>
        <item m="1" x="697"/>
        <item m="1" x="992"/>
        <item m="1" x="1117"/>
        <item m="1" x="620"/>
        <item m="1" x="748"/>
        <item m="1" x="560"/>
        <item m="1" x="486"/>
        <item m="1" x="997"/>
        <item m="1" x="1112"/>
        <item m="1" x="1274"/>
        <item m="1" x="316"/>
        <item m="1" x="520"/>
        <item m="1" x="960"/>
        <item m="1" x="361"/>
        <item m="1" x="648"/>
        <item m="1" x="1029"/>
        <item m="1" x="294"/>
        <item m="1" x="504"/>
        <item m="1" x="614"/>
        <item m="1" x="1220"/>
        <item m="1" x="453"/>
        <item m="1" x="723"/>
        <item m="1" x="1276"/>
        <item m="1" x="404"/>
        <item m="1" x="593"/>
        <item m="1" x="781"/>
        <item m="1" x="1118"/>
        <item m="1" x="416"/>
        <item m="1" x="672"/>
        <item m="1" x="514"/>
        <item m="1" x="1010"/>
        <item m="1" x="1196"/>
        <item m="1" x="322"/>
        <item m="1" x="542"/>
        <item m="1" x="1278"/>
        <item m="1" x="1243"/>
        <item m="1" x="343"/>
        <item m="1" x="660"/>
        <item m="1" x="1184"/>
        <item m="1" x="1315"/>
        <item m="1" x="1186"/>
        <item m="1" x="1161"/>
        <item m="1" x="292"/>
        <item m="1" x="468"/>
        <item m="1" x="550"/>
        <item m="1" x="539"/>
        <item m="1" x="766"/>
        <item m="1" x="254"/>
        <item m="1" x="953"/>
        <item m="1" x="1024"/>
        <item m="1" x="206"/>
        <item m="1" x="1284"/>
        <item m="1" x="1146"/>
        <item m="1" x="1275"/>
        <item m="1" x="1305"/>
        <item m="1" x="1341"/>
        <item m="1" x="1279"/>
        <item m="1" x="643"/>
        <item m="1" x="1003"/>
        <item m="1" x="610"/>
        <item m="1" x="1016"/>
        <item m="1" x="981"/>
        <item m="1" x="419"/>
        <item m="1" x="457"/>
        <item m="1" x="595"/>
        <item m="1" x="1060"/>
        <item m="1" x="580"/>
        <item m="1" x="326"/>
        <item m="1" x="1325"/>
        <item m="1" x="1075"/>
        <item m="1" x="908"/>
        <item m="1" x="940"/>
        <item m="1" x="989"/>
        <item m="1" x="414"/>
        <item m="1" x="756"/>
        <item m="1" x="1101"/>
        <item m="1" x="252"/>
        <item m="1" x="495"/>
        <item m="1" x="395"/>
        <item m="1" x="392"/>
        <item m="1" x="396"/>
        <item m="1" x="197"/>
        <item m="1" x="418"/>
        <item m="1" x="1215"/>
        <item m="1" x="219"/>
        <item m="1" x="865"/>
        <item m="1" x="1302"/>
        <item m="1" x="1113"/>
        <item m="1" x="373"/>
        <item m="1" x="1373"/>
        <item m="1" x="302"/>
        <item m="1" x="669"/>
        <item m="1" x="892"/>
        <item m="1" x="348"/>
        <item m="1" x="801"/>
        <item m="1" x="961"/>
        <item m="1" x="1229"/>
        <item m="1" x="1131"/>
        <item m="1" x="210"/>
        <item m="1" x="893"/>
        <item m="1" x="293"/>
        <item m="1" x="529"/>
        <item m="1" x="501"/>
        <item m="1" x="263"/>
        <item m="1" x="856"/>
        <item m="1" x="863"/>
        <item m="1" x="963"/>
        <item m="1" x="712"/>
        <item m="1" x="1212"/>
        <item m="1" x="621"/>
        <item m="1" x="1331"/>
        <item m="1" x="966"/>
        <item m="1" x="857"/>
        <item m="1" x="521"/>
        <item m="1" x="929"/>
        <item m="1" x="1227"/>
        <item m="1" x="1292"/>
        <item m="1" x="1271"/>
        <item m="1" x="1201"/>
        <item m="1" x="950"/>
        <item m="1" x="1063"/>
        <item m="1" x="576"/>
        <item m="1" x="1025"/>
        <item m="1" x="850"/>
        <item m="1" x="809"/>
        <item m="1" x="807"/>
        <item m="1" x="808"/>
        <item m="1" x="505"/>
        <item m="1" x="549"/>
        <item m="1" x="1162"/>
        <item m="1" x="727"/>
        <item m="1" x="569"/>
        <item m="1" x="611"/>
        <item m="1" x="657"/>
        <item m="1" x="909"/>
        <item m="1" x="1247"/>
        <item m="1" x="1336"/>
        <item m="1" x="454"/>
        <item m="1" x="405"/>
        <item m="1" x="242"/>
        <item m="1" x="264"/>
        <item m="1" x="561"/>
        <item m="1" x="349"/>
        <item m="1" x="677"/>
        <item m="1" x="1213"/>
        <item m="1" x="554"/>
        <item m="1" x="346"/>
        <item m="1" x="1105"/>
        <item m="1" x="223"/>
        <item m="1" x="1231"/>
        <item m="1" x="1306"/>
        <item m="1" x="1370"/>
        <item m="1" x="1245"/>
        <item m="1" x="488"/>
        <item m="1" x="265"/>
        <item m="1" x="729"/>
        <item m="1" x="813"/>
        <item m="1" x="1009"/>
        <item m="1" x="977"/>
        <item m="1" x="1013"/>
        <item m="1" x="790"/>
        <item m="1" x="828"/>
        <item m="1" x="1269"/>
        <item m="1" x="1032"/>
        <item m="1" x="1002"/>
        <item m="1" x="941"/>
        <item m="1" x="1014"/>
        <item m="1" x="215"/>
        <item m="1" x="220"/>
        <item m="1" x="823"/>
        <item m="1" x="1208"/>
        <item m="1" x="778"/>
        <item m="1" x="1348"/>
        <item m="1" x="747"/>
        <item m="1" x="923"/>
        <item m="1" x="994"/>
        <item m="1" x="608"/>
        <item m="1" x="440"/>
        <item m="1" x="816"/>
        <item m="1" x="502"/>
        <item m="1" x="1357"/>
        <item m="1" x="1272"/>
        <item m="1" x="1085"/>
        <item m="1" x="342"/>
        <item m="1" x="269"/>
        <item m="1" x="842"/>
        <item m="1" x="1086"/>
        <item m="1" x="1375"/>
        <item m="1" x="721"/>
        <item m="1" x="1322"/>
        <item m="1" x="256"/>
        <item m="1" x="370"/>
        <item m="1" x="682"/>
        <item m="1" x="773"/>
        <item m="1" x="1202"/>
        <item m="1" x="526"/>
        <item m="1" x="1205"/>
        <item m="1" x="622"/>
        <item m="1" x="1194"/>
        <item m="1" x="1358"/>
        <item m="1" x="286"/>
        <item m="1" x="1342"/>
        <item m="1" x="233"/>
        <item m="1" x="1095"/>
        <item m="1" x="713"/>
        <item m="1" x="544"/>
        <item m="1" x="507"/>
        <item m="1" x="651"/>
        <item m="1" x="250"/>
        <item m="1" x="1335"/>
        <item m="1" x="334"/>
        <item m="1" x="355"/>
        <item m="1" x="1228"/>
        <item m="1" x="1307"/>
        <item m="1" x="821"/>
        <item m="1" x="962"/>
        <item m="1" x="663"/>
        <item m="1" x="776"/>
        <item m="1" x="925"/>
        <item m="1" x="1042"/>
        <item m="1" x="629"/>
        <item m="1" x="905"/>
        <item m="1" x="724"/>
        <item m="1" x="1361"/>
        <item m="1" x="214"/>
        <item m="1" x="653"/>
        <item m="1" x="594"/>
        <item m="1" x="555"/>
        <item m="1" x="1349"/>
        <item m="1" x="1167"/>
        <item m="1" x="1298"/>
        <item m="1" x="311"/>
        <item m="1" x="1309"/>
        <item m="1" x="1296"/>
        <item m="1" x="1173"/>
        <item m="1" x="408"/>
        <item m="1" x="777"/>
        <item m="1" x="870"/>
        <item m="1" x="616"/>
        <item m="1" x="1214"/>
        <item m="1" x="1000"/>
        <item m="1" x="1020"/>
        <item m="1" x="914"/>
        <item m="1" x="257"/>
        <item m="1" x="1087"/>
        <item m="1" x="1249"/>
        <item m="1" x="654"/>
        <item m="1" x="1368"/>
        <item m="1" x="862"/>
        <item m="1" x="449"/>
        <item m="1" x="582"/>
        <item m="1" x="618"/>
        <item m="1" x="1277"/>
        <item m="1" x="1261"/>
        <item m="1" x="321"/>
        <item m="1" x="323"/>
        <item m="1" x="237"/>
        <item m="1" x="1197"/>
        <item m="1" x="239"/>
        <item m="1" x="656"/>
        <item m="1" x="556"/>
        <item m="1" x="1012"/>
        <item m="1" x="955"/>
        <item m="1" x="1304"/>
        <item m="1" x="1236"/>
        <item m="1" x="728"/>
        <item m="1" x="942"/>
        <item m="1" x="1177"/>
        <item m="1" x="290"/>
        <item m="1" x="722"/>
        <item m="1" x="652"/>
        <item m="1" x="1346"/>
        <item m="1" x="1313"/>
        <item m="1" x="744"/>
        <item m="1" x="350"/>
        <item m="1" x="645"/>
        <item m="1" x="818"/>
        <item m="1" x="272"/>
        <item m="1" x="1108"/>
        <item m="1" x="702"/>
        <item m="1" x="512"/>
        <item m="1" x="606"/>
        <item m="1" x="1052"/>
        <item m="1" x="1351"/>
        <item m="1" x="430"/>
        <item m="1" x="1203"/>
        <item m="1" x="424"/>
        <item m="1" x="988"/>
        <item m="1" x="760"/>
        <item m="1" x="691"/>
        <item m="1" x="413"/>
        <item m="1" x="480"/>
        <item m="1" x="268"/>
        <item m="1" x="1068"/>
        <item m="1" x="581"/>
        <item m="1" x="305"/>
        <item m="1" x="919"/>
        <item m="1" x="1234"/>
        <item m="1" x="774"/>
        <item m="1" x="732"/>
        <item m="1" x="203"/>
        <item m="1" x="1339"/>
        <item m="1" x="589"/>
        <item m="1" x="649"/>
        <item m="1" x="1056"/>
        <item m="1" x="1333"/>
        <item m="1" x="1258"/>
        <item m="1" x="1109"/>
        <item m="1" x="1224"/>
        <item m="1" x="385"/>
        <item m="1" x="584"/>
        <item m="1" x="417"/>
        <item m="1" x="209"/>
        <item m="1" x="822"/>
        <item m="1" x="271"/>
        <item m="1" x="493"/>
        <item m="1" x="437"/>
        <item m="1" x="383"/>
        <item m="1" x="1338"/>
        <item m="1" x="434"/>
        <item m="1" x="1036"/>
        <item m="1" x="1248"/>
        <item m="1" x="374"/>
        <item m="1" x="278"/>
        <item m="1" x="1071"/>
        <item m="1" x="1047"/>
        <item m="1" x="1088"/>
        <item m="1" x="1007"/>
        <item m="1" x="351"/>
        <item m="1" x="707"/>
        <item m="1" x="975"/>
        <item m="1" x="1225"/>
        <item m="1" x="819"/>
        <item m="1" x="937"/>
        <item m="1" x="1281"/>
        <item m="1" x="693"/>
        <item m="1" x="537"/>
        <item m="1" x="770"/>
        <item m="1" x="717"/>
        <item m="1" x="647"/>
        <item m="1" x="1164"/>
        <item m="1" x="851"/>
        <item m="1" x="947"/>
        <item m="1" x="198"/>
        <item m="1" x="743"/>
        <item m="1" x="345"/>
        <item m="1" x="612"/>
        <item m="1" x="750"/>
        <item m="1" x="280"/>
        <item m="1" x="397"/>
        <item m="1" x="852"/>
        <item m="1" x="1049"/>
        <item m="1" x="1319"/>
        <item m="1" x="1362"/>
        <item m="1" x="972"/>
        <item m="1" x="320"/>
        <item m="1" x="248"/>
        <item m="1" x="834"/>
        <item m="1" x="456"/>
        <item m="1" x="730"/>
        <item m="1" x="358"/>
        <item m="1" x="461"/>
        <item m="1" x="888"/>
        <item m="1" x="1244"/>
        <item m="1" x="1175"/>
        <item m="1" x="591"/>
        <item m="1" x="626"/>
        <item m="1" x="902"/>
        <item m="1" x="1332"/>
        <item m="1" x="1058"/>
        <item m="1" x="224"/>
        <item m="1" x="1286"/>
        <item m="1" x="332"/>
        <item m="1" x="978"/>
        <item m="1" x="1023"/>
        <item m="1" x="1026"/>
        <item m="1" x="1366"/>
        <item m="1" x="259"/>
        <item m="1" x="1037"/>
        <item m="1" x="1134"/>
        <item m="1" x="906"/>
        <item m="1" x="1076"/>
        <item m="1" x="318"/>
        <item m="1" x="710"/>
        <item m="1" x="557"/>
        <item m="1" x="1169"/>
        <item m="1" x="1264"/>
        <item m="1" x="793"/>
        <item m="1" x="1232"/>
        <item m="1" x="1280"/>
        <item m="1" x="633"/>
        <item m="1" x="1136"/>
        <item m="1" x="999"/>
        <item m="1" x="1282"/>
        <item m="1" x="1326"/>
        <item m="1" x="1064"/>
        <item m="1" x="674"/>
        <item m="1" x="479"/>
        <item m="1" x="1314"/>
        <item m="1" x="861"/>
        <item m="1" x="835"/>
        <item m="1" x="844"/>
        <item m="1" x="1365"/>
        <item m="1" x="1089"/>
        <item m="1" x="784"/>
        <item m="1" x="1053"/>
        <item m="1" x="1030"/>
        <item m="1" x="646"/>
        <item m="1" x="547"/>
        <item m="1" x="1046"/>
        <item m="1" x="441"/>
        <item m="1" x="398"/>
        <item m="1" x="340"/>
        <item m="1" x="1327"/>
        <item m="1" x="943"/>
        <item m="1" x="678"/>
        <item m="1" x="759"/>
        <item m="1" x="240"/>
        <item m="1" x="1316"/>
        <item m="1" x="867"/>
        <item m="1" x="1015"/>
        <item m="1" x="463"/>
        <item m="1" x="1147"/>
        <item m="1" x="650"/>
        <item m="1" x="543"/>
        <item m="1" x="1371"/>
        <item m="1" x="673"/>
        <item m="1" x="1312"/>
        <item m="1" x="898"/>
        <item m="1" x="574"/>
        <item m="1" x="365"/>
        <item m="1" x="308"/>
        <item m="1" x="602"/>
        <item m="1" x="299"/>
        <item m="1" x="270"/>
        <item m="1" x="287"/>
        <item m="1" x="566"/>
        <item m="1" x="411"/>
        <item m="1" x="718"/>
        <item m="1" x="775"/>
        <item m="1" x="874"/>
        <item m="1" x="745"/>
        <item m="1" x="1078"/>
        <item m="1" x="1142"/>
        <item m="1" x="354"/>
        <item m="1" x="364"/>
        <item m="1" x="553"/>
        <item m="1" x="695"/>
        <item m="1" x="485"/>
        <item m="1" x="1038"/>
        <item m="1" x="788"/>
        <item m="1" x="705"/>
        <item m="1" x="838"/>
        <item m="1" x="1144"/>
        <item m="1" x="1082"/>
        <item m="1" x="1168"/>
        <item m="1" x="924"/>
        <item m="1" x="344"/>
        <item m="1" x="1350"/>
        <item m="1" x="763"/>
        <item m="1" x="378"/>
        <item m="1" x="202"/>
        <item m="1" x="1347"/>
        <item m="1" x="831"/>
        <item m="1" x="798"/>
        <item m="1" x="570"/>
        <item m="1" x="450"/>
        <item m="1" x="534"/>
        <item m="1" x="688"/>
        <item m="1" x="1263"/>
        <item m="1" x="1182"/>
        <item m="1" x="558"/>
        <item m="1" x="631"/>
        <item m="1" x="638"/>
        <item m="1" x="1176"/>
        <item m="1" x="779"/>
        <item m="1" x="251"/>
        <item m="1" x="812"/>
        <item m="1" x="1091"/>
        <item m="1" x="1217"/>
        <item m="1" x="1110"/>
        <item m="1" x="918"/>
        <item m="1" x="1216"/>
        <item m="1" x="230"/>
        <item m="1" x="1133"/>
        <item m="1" x="212"/>
        <item m="1" x="552"/>
        <item m="1" x="216"/>
        <item m="1" x="375"/>
        <item m="1" x="465"/>
        <item m="1" x="471"/>
        <item m="1" x="889"/>
        <item m="1" x="1143"/>
        <item m="1" x="670"/>
        <item m="1" x="241"/>
        <item m="1" x="447"/>
        <item m="1" x="235"/>
        <item m="1" x="1230"/>
        <item m="1" x="455"/>
        <item m="1" x="791"/>
        <item m="1" x="1250"/>
        <item m="1" x="577"/>
        <item m="1" x="519"/>
        <item m="1" x="915"/>
        <item m="1" x="472"/>
        <item m="1" x="780"/>
        <item m="1" x="1074"/>
        <item m="1" x="213"/>
        <item m="1" x="726"/>
        <item m="1" x="845"/>
        <item m="1" x="337"/>
        <item m="1" x="679"/>
        <item m="1" x="814"/>
        <item m="1" x="565"/>
        <item m="1" x="603"/>
        <item m="1" x="330"/>
        <item m="1" x="736"/>
        <item m="1" x="200"/>
        <item m="1" x="872"/>
        <item m="1" x="1265"/>
        <item m="1" x="986"/>
        <item m="1" x="980"/>
        <item m="1" x="879"/>
        <item m="1" x="205"/>
        <item m="1" x="1011"/>
        <item m="1" x="1054"/>
        <item m="1" x="860"/>
        <item m="1" x="204"/>
        <item m="1" x="1211"/>
        <item m="1" x="1178"/>
        <item m="1" x="208"/>
        <item m="1" x="487"/>
        <item m="1" x="877"/>
        <item m="1" x="1132"/>
        <item m="1" x="329"/>
        <item m="1" x="225"/>
        <item m="1" x="384"/>
        <item m="1" x="275"/>
        <item m="1" x="683"/>
        <item m="1" x="496"/>
        <item m="1" x="494"/>
        <item m="1" x="665"/>
        <item m="1" x="767"/>
        <item m="1" x="671"/>
        <item m="1" x="868"/>
        <item m="1" x="720"/>
        <item m="1" x="585"/>
        <item m="1" x="700"/>
        <item m="1" x="1193"/>
        <item m="1" x="1288"/>
        <item m="1" x="545"/>
        <item m="1" x="1268"/>
        <item m="1" x="310"/>
        <item m="1" x="1257"/>
        <item m="1" x="954"/>
        <item m="1" x="1125"/>
        <item m="1" x="1204"/>
        <item m="1" x="884"/>
        <item m="1" x="1096"/>
        <item m="1" x="388"/>
        <item m="1" x="371"/>
        <item m="1" x="993"/>
        <item m="1" x="965"/>
        <item m="1" x="527"/>
        <item m="1" x="1363"/>
        <item m="1" x="935"/>
        <item m="1" x="675"/>
        <item m="1" x="749"/>
        <item m="1" x="708"/>
        <item m="1" x="1218"/>
        <item m="1" x="1222"/>
        <item m="1" x="218"/>
        <item m="1" x="1102"/>
        <item m="1" x="1148"/>
        <item m="1" x="267"/>
        <item m="1" x="639"/>
        <item m="1" x="630"/>
        <item m="1" x="1137"/>
        <item m="1" x="836"/>
        <item m="1" x="1040"/>
        <item m="1" x="706"/>
        <item m="1" x="1057"/>
        <item m="1" x="245"/>
        <item m="1" x="368"/>
        <item m="1" x="1337"/>
        <item m="1" x="957"/>
        <item m="1" x="1329"/>
        <item m="1" x="249"/>
        <item m="1" x="509"/>
        <item m="1" x="325"/>
        <item m="1" x="258"/>
        <item m="1" x="273"/>
        <item m="1" x="825"/>
        <item m="1" x="858"/>
        <item m="1" x="530"/>
        <item m="1" x="948"/>
        <item m="1" x="1266"/>
        <item m="1" x="617"/>
        <item m="1" x="696"/>
        <item m="1" x="846"/>
        <item m="1" x="1334"/>
        <item m="1" x="511"/>
        <item m="1" x="523"/>
        <item m="1" x="533"/>
        <item m="1" x="1154"/>
        <item m="1" x="1290"/>
        <item m="1" x="207"/>
        <item m="1" x="1034"/>
        <item m="1" x="1330"/>
        <item m="1" x="431"/>
        <item m="1" x="746"/>
        <item m="1" x="1367"/>
        <item m="1" x="1273"/>
        <item m="1" x="420"/>
        <item m="1" x="532"/>
        <item m="1" x="619"/>
        <item m="1" x="944"/>
        <item m="1" x="1141"/>
        <item m="1" x="376"/>
        <item m="1" x="847"/>
        <item m="1" x="372"/>
        <item m="1" x="341"/>
        <item m="1" x="289"/>
        <item m="1" x="1260"/>
        <item m="1" x="853"/>
        <item m="1" x="1301"/>
        <item m="1" x="694"/>
        <item m="1" x="1318"/>
        <item m="1" x="1070"/>
        <item m="1" x="359"/>
        <item m="1" x="1174"/>
        <item m="1" x="1188"/>
        <item m="1" x="848"/>
        <item m="1" x="1223"/>
        <item m="1" x="1061"/>
        <item m="1" x="926"/>
        <item m="1" x="243"/>
        <item m="1" x="1072"/>
        <item m="1" x="804"/>
        <item m="1" x="737"/>
        <item m="1" x="1080"/>
        <item m="1" x="664"/>
        <item m="1" x="298"/>
        <item m="1" x="470"/>
        <item m="1" x="247"/>
        <item m="1" x="596"/>
        <item m="1" x="974"/>
        <item m="1" x="559"/>
        <item m="1" x="422"/>
        <item m="1" x="637"/>
        <item m="1" x="315"/>
        <item m="1" x="567"/>
        <item m="1" x="438"/>
        <item m="1" x="789"/>
        <item m="1" x="1376"/>
        <item m="1" x="830"/>
        <item m="1" x="426"/>
        <item m="1" x="703"/>
        <item m="1" x="409"/>
        <item m="1" x="462"/>
        <item m="1" x="754"/>
        <item m="1" x="1022"/>
        <item m="1" x="739"/>
        <item m="1" x="1189"/>
        <item m="1" x="751"/>
        <item m="1" x="985"/>
        <item m="1" x="300"/>
        <item m="1" x="783"/>
        <item m="1" x="423"/>
        <item m="1" x="353"/>
        <item m="1" x="1079"/>
        <item m="1" x="394"/>
        <item m="1" x="1103"/>
        <item m="1" x="295"/>
        <item m="1" x="920"/>
        <item m="1" x="927"/>
        <item m="1" x="331"/>
        <item m="1" x="849"/>
        <item m="1" x="227"/>
        <item m="1" x="1050"/>
        <item m="1" x="755"/>
        <item m="1" x="976"/>
        <item m="1" x="945"/>
        <item m="1" x="1165"/>
        <item m="1" x="938"/>
        <item m="1" x="516"/>
        <item m="1" x="1017"/>
        <item m="1" x="1151"/>
        <item m="1" x="841"/>
        <item m="1" x="973"/>
        <item m="1" x="306"/>
        <item m="1" x="1139"/>
        <item m="1" x="796"/>
        <item m="1" x="661"/>
        <item m="1" x="1045"/>
        <item m="1" x="571"/>
        <item m="1" x="894"/>
        <item m="1" x="428"/>
        <item m="1" x="524"/>
        <item m="1" x="921"/>
        <item m="1" x="690"/>
        <item m="1" x="234"/>
        <item m="1" x="568"/>
        <item m="1" x="1048"/>
        <item m="1" x="1150"/>
        <item m="1" x="253"/>
        <item m="1" x="538"/>
        <item m="1" x="473"/>
        <item m="1" x="806"/>
        <item m="1" x="899"/>
        <item m="1" x="339"/>
        <item m="1" x="1321"/>
        <item m="1" x="304"/>
        <item m="1" x="377"/>
        <item m="1" x="1158"/>
        <item m="1" x="666"/>
        <item m="1" x="680"/>
        <item m="1" x="734"/>
        <item m="1" x="309"/>
        <item m="1" x="588"/>
        <item m="1" x="983"/>
        <item m="1" x="895"/>
        <item m="1" x="685"/>
        <item m="1" x="632"/>
        <item m="1" x="262"/>
        <item m="1" x="500"/>
        <item m="1" x="964"/>
        <item m="1" x="598"/>
        <item m="1" x="761"/>
        <item m="1" x="698"/>
        <item m="1" x="880"/>
        <item m="1" x="244"/>
        <item m="1" x="725"/>
        <item m="1" x="399"/>
        <item m="1" x="802"/>
        <item m="1" x="928"/>
        <item m="1" x="1004"/>
        <item m="1" x="939"/>
        <item m="1" x="900"/>
        <item m="1" x="826"/>
        <item m="1" x="1237"/>
        <item m="1" x="1129"/>
        <item m="1" x="380"/>
        <item m="1" x="1121"/>
        <item m="1" x="575"/>
        <item m="1" x="885"/>
        <item m="1" x="291"/>
        <item m="1" x="864"/>
        <item m="1" x="731"/>
        <item m="1" x="1163"/>
        <item m="1" x="317"/>
        <item m="1" x="1374"/>
        <item m="1" x="356"/>
        <item m="1" x="296"/>
        <item m="1" x="866"/>
        <item m="1" x="1066"/>
        <item m="1" x="969"/>
        <item m="1" x="255"/>
        <item m="1" x="407"/>
        <item m="1" x="1195"/>
        <item m="1" x="1135"/>
        <item m="1" x="390"/>
        <item m="1" x="363"/>
        <item m="1" x="658"/>
        <item m="1" x="279"/>
        <item m="1" x="886"/>
        <item m="1" x="319"/>
        <item m="1" x="489"/>
        <item m="1" x="786"/>
        <item m="1" x="1317"/>
        <item m="1" x="357"/>
        <item m="1" x="627"/>
        <item m="1" x="474"/>
        <item m="1" x="636"/>
        <item m="1" x="1190"/>
        <item m="1" x="1073"/>
        <item m="1" x="535"/>
        <item m="1" x="288"/>
        <item m="1" x="1238"/>
        <item m="1" x="401"/>
        <item m="1" x="1183"/>
        <item m="1" x="740"/>
        <item m="1" x="1124"/>
        <item m="1" x="483"/>
        <item m="1" x="655"/>
        <item m="1" x="1140"/>
        <item m="1" x="1328"/>
        <item m="1" x="1104"/>
        <item m="1" x="503"/>
        <item m="1" x="446"/>
        <item m="1" x="1149"/>
        <item m="1" x="913"/>
        <item m="1" x="757"/>
        <item m="1" x="1181"/>
        <item m="1" x="229"/>
        <item m="1" x="226"/>
        <item m="1" x="901"/>
        <item m="1" x="1041"/>
        <item m="1" x="996"/>
        <item m="1" x="1179"/>
        <item m="1" x="704"/>
        <item m="1" x="451"/>
        <item m="1" x="525"/>
        <item m="1" x="1055"/>
        <item m="1" x="607"/>
        <item m="1" x="837"/>
        <item m="1" x="1252"/>
        <item m="1" x="490"/>
        <item m="1" x="827"/>
        <item m="1" x="211"/>
        <item m="1" x="5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m="1" x="528"/>
        <item m="1" x="1289"/>
        <item m="1" x="231"/>
        <item m="1" x="19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367"/>
    </i>
    <i r="2">
      <x v="8"/>
    </i>
    <i r="1">
      <x v="1368"/>
    </i>
    <i r="2">
      <x v="8"/>
    </i>
    <i r="2">
      <x v="11"/>
    </i>
    <i r="1">
      <x v="1369"/>
    </i>
    <i r="2">
      <x v="8"/>
    </i>
    <i r="1">
      <x v="1370"/>
    </i>
    <i r="2">
      <x v="8"/>
    </i>
    <i r="1">
      <x v="1371"/>
    </i>
    <i r="2">
      <x v="8"/>
    </i>
    <i r="1">
      <x v="1372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14" totalsRowShown="0" totalsRowDxfId="23">
  <autoFilter ref="A1:C111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380" totalsRowShown="0">
  <autoFilter ref="A1:S1380" xr:uid="{678037D6-A574-4B81-B392-ED766472D9FE}">
    <filterColumn colId="1">
      <filters>
        <filter val="open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5" totalsRowShown="0">
  <autoFilter ref="A1:B12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110</v>
      </c>
      <c r="C5"/>
      <c r="D5"/>
      <c r="E5"/>
    </row>
    <row r="6" spans="1:6">
      <c r="A6" s="67" t="s">
        <v>3196</v>
      </c>
      <c r="B6" s="71">
        <v>1</v>
      </c>
      <c r="C6"/>
      <c r="D6"/>
      <c r="E6"/>
    </row>
    <row r="7" spans="1:6">
      <c r="A7" s="68" t="s">
        <v>370</v>
      </c>
      <c r="B7" s="71">
        <v>1</v>
      </c>
      <c r="C7"/>
      <c r="D7"/>
      <c r="E7"/>
    </row>
    <row r="8" spans="1:6">
      <c r="A8" s="67" t="s">
        <v>3205</v>
      </c>
      <c r="B8" s="71">
        <v>4</v>
      </c>
      <c r="C8" s="56"/>
      <c r="D8"/>
      <c r="E8"/>
    </row>
    <row r="9" spans="1:6">
      <c r="A9" s="68" t="s">
        <v>370</v>
      </c>
      <c r="B9" s="71">
        <v>1</v>
      </c>
      <c r="C9"/>
      <c r="D9"/>
    </row>
    <row r="10" spans="1:6">
      <c r="A10" s="68" t="s">
        <v>375</v>
      </c>
      <c r="B10" s="71">
        <v>3</v>
      </c>
      <c r="C10" s="53"/>
      <c r="D10"/>
    </row>
    <row r="11" spans="1:6">
      <c r="A11" s="67" t="s">
        <v>3206</v>
      </c>
      <c r="B11" s="71">
        <v>2</v>
      </c>
      <c r="C11"/>
      <c r="D11"/>
    </row>
    <row r="12" spans="1:6">
      <c r="A12" s="68" t="s">
        <v>370</v>
      </c>
      <c r="B12" s="71">
        <v>2</v>
      </c>
      <c r="C12"/>
      <c r="D12"/>
    </row>
    <row r="13" spans="1:6">
      <c r="A13" s="67" t="s">
        <v>3209</v>
      </c>
      <c r="B13" s="71">
        <v>1</v>
      </c>
      <c r="C13"/>
      <c r="D13"/>
    </row>
    <row r="14" spans="1:6">
      <c r="A14" s="68" t="s">
        <v>370</v>
      </c>
      <c r="B14" s="71">
        <v>1</v>
      </c>
      <c r="C14" s="53"/>
      <c r="D14"/>
    </row>
    <row r="15" spans="1:6">
      <c r="A15" s="67" t="s">
        <v>3212</v>
      </c>
      <c r="B15" s="71">
        <v>101</v>
      </c>
      <c r="C15"/>
      <c r="D15"/>
    </row>
    <row r="16" spans="1:6">
      <c r="A16" s="68" t="s">
        <v>370</v>
      </c>
      <c r="B16" s="71">
        <v>101</v>
      </c>
      <c r="C16"/>
      <c r="D16"/>
    </row>
    <row r="17" spans="1:4">
      <c r="A17" s="67" t="s">
        <v>3409</v>
      </c>
      <c r="B17" s="71">
        <v>1</v>
      </c>
      <c r="C17"/>
      <c r="D17"/>
    </row>
    <row r="18" spans="1:4">
      <c r="A18" s="68" t="s">
        <v>370</v>
      </c>
      <c r="B18" s="71">
        <v>1</v>
      </c>
      <c r="C18"/>
      <c r="D18"/>
    </row>
    <row r="19" spans="1:4">
      <c r="A19" s="17" t="s">
        <v>381</v>
      </c>
      <c r="B19" s="71">
        <v>110</v>
      </c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14"/>
  <sheetViews>
    <sheetView topLeftCell="A1085" workbookViewId="0">
      <selection activeCell="C1113" sqref="C1113:C111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380"/>
  <sheetViews>
    <sheetView tabSelected="1" zoomScale="85" zoomScaleNormal="8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83.7109375" bestFit="1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102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77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77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77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77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77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77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77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77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77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77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77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73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70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70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70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70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70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70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70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70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70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70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70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70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70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70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70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70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70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70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70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70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70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70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70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70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70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70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70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70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70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70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70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70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70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70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70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70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70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70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70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70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70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69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69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69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69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69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69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69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69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69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69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69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69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69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69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69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69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69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69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69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69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69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69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69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69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69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69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69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69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69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69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69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69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69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69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69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69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69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69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69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69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69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69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69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69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69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69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69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69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69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69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69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69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69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69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69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69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69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69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69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68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68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68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68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68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67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67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65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65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64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61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61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61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61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61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61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61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61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61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61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61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61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61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61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61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61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61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61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61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61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61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60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60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60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60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60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55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55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55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50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50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50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50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50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50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50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50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50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50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50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50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50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50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50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50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50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50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46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46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46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41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40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40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40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40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40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40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40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40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40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40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40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40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26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26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25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25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25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>
      <c r="A1185" t="s">
        <v>3196</v>
      </c>
      <c r="B1185" s="71" t="str">
        <f>IFERROR(VLOOKUP(Proc[[#This Row],[App]],Table2[],3,0),"open")</f>
        <v>open</v>
      </c>
      <c r="C1185" t="s">
        <v>370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/>
      <c r="O1185" s="81"/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>
      <c r="A1186" t="s">
        <v>3205</v>
      </c>
      <c r="B1186" s="71" t="str">
        <f>IFERROR(VLOOKUP(Proc[[#This Row],[App]],Table2[],3,0),"open")</f>
        <v>open</v>
      </c>
      <c r="C1186" s="74" t="s">
        <v>370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/>
      <c r="O1186" s="81"/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open</v>
      </c>
      <c r="C1187" s="74" t="s">
        <v>375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/>
      <c r="O1187" s="81"/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open</v>
      </c>
      <c r="C1188" s="74" t="s">
        <v>375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/>
      <c r="O1188" s="81"/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open</v>
      </c>
      <c r="C1189" s="74" t="s">
        <v>375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/>
      <c r="O1189" s="81"/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>
      <c r="A1190" t="s">
        <v>3206</v>
      </c>
      <c r="B1190" s="71" t="str">
        <f>IFERROR(VLOOKUP(Proc[[#This Row],[App]],Table2[],3,0),"open")</f>
        <v>open</v>
      </c>
      <c r="C1190" s="74" t="s">
        <v>370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/>
      <c r="O1190" s="81"/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>
      <c r="A1191" t="s">
        <v>3206</v>
      </c>
      <c r="B1191" s="71" t="str">
        <f>IFERROR(VLOOKUP(Proc[[#This Row],[App]],Table2[],3,0),"open")</f>
        <v>open</v>
      </c>
      <c r="C1191" s="74" t="s">
        <v>370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/>
      <c r="O1191" s="81"/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>
      <c r="A1192" t="s">
        <v>3209</v>
      </c>
      <c r="B1192" s="71" t="str">
        <f>IFERROR(VLOOKUP(Proc[[#This Row],[App]],Table2[],3,0),"open")</f>
        <v>open</v>
      </c>
      <c r="C1192" s="74" t="s">
        <v>370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/>
      <c r="O1192" s="81"/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>
      <c r="A1193" t="s">
        <v>3212</v>
      </c>
      <c r="B1193" s="71" t="str">
        <f>IFERROR(VLOOKUP(Proc[[#This Row],[App]],Table2[],3,0),"open")</f>
        <v>open</v>
      </c>
      <c r="C1193" s="74" t="s">
        <v>370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/>
      <c r="O1193" s="81"/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>
      <c r="A1194" s="74" t="s">
        <v>3212</v>
      </c>
      <c r="B1194" s="71" t="str">
        <f>IFERROR(VLOOKUP(Proc[[#This Row],[App]],Table2[],3,0),"open")</f>
        <v>open</v>
      </c>
      <c r="C1194" s="74" t="s">
        <v>370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/>
      <c r="O1194" s="81"/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>
      <c r="A1195" s="74" t="s">
        <v>3212</v>
      </c>
      <c r="B1195" s="71" t="str">
        <f>IFERROR(VLOOKUP(Proc[[#This Row],[App]],Table2[],3,0),"open")</f>
        <v>open</v>
      </c>
      <c r="C1195" s="74" t="s">
        <v>370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/>
      <c r="O1195" s="81"/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>
      <c r="A1196" s="74" t="s">
        <v>3212</v>
      </c>
      <c r="B1196" s="71" t="str">
        <f>IFERROR(VLOOKUP(Proc[[#This Row],[App]],Table2[],3,0),"open")</f>
        <v>open</v>
      </c>
      <c r="C1196" s="74" t="s">
        <v>370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/>
      <c r="O1196" s="81"/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>
      <c r="A1197" s="74" t="s">
        <v>3212</v>
      </c>
      <c r="B1197" s="71" t="str">
        <f>IFERROR(VLOOKUP(Proc[[#This Row],[App]],Table2[],3,0),"open")</f>
        <v>open</v>
      </c>
      <c r="C1197" s="74" t="s">
        <v>370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/>
      <c r="O1197" s="81"/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>
      <c r="A1198" s="74" t="s">
        <v>3212</v>
      </c>
      <c r="B1198" s="71" t="str">
        <f>IFERROR(VLOOKUP(Proc[[#This Row],[App]],Table2[],3,0),"open")</f>
        <v>open</v>
      </c>
      <c r="C1198" s="74" t="s">
        <v>370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/>
      <c r="O1198" s="81"/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>
      <c r="A1199" s="74" t="s">
        <v>3212</v>
      </c>
      <c r="B1199" s="71" t="str">
        <f>IFERROR(VLOOKUP(Proc[[#This Row],[App]],Table2[],3,0),"open")</f>
        <v>open</v>
      </c>
      <c r="C1199" s="74" t="s">
        <v>370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/>
      <c r="O1199" s="81"/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>
      <c r="A1200" s="74" t="s">
        <v>3212</v>
      </c>
      <c r="B1200" s="71" t="str">
        <f>IFERROR(VLOOKUP(Proc[[#This Row],[App]],Table2[],3,0),"open")</f>
        <v>open</v>
      </c>
      <c r="C1200" s="74" t="s">
        <v>370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/>
      <c r="O1200" s="81"/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>
      <c r="A1201" s="74" t="s">
        <v>3212</v>
      </c>
      <c r="B1201" s="71" t="str">
        <f>IFERROR(VLOOKUP(Proc[[#This Row],[App]],Table2[],3,0),"open")</f>
        <v>open</v>
      </c>
      <c r="C1201" s="74" t="s">
        <v>370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/>
      <c r="O1201" s="81"/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>
      <c r="A1202" s="74" t="s">
        <v>3212</v>
      </c>
      <c r="B1202" s="71" t="str">
        <f>IFERROR(VLOOKUP(Proc[[#This Row],[App]],Table2[],3,0),"open")</f>
        <v>open</v>
      </c>
      <c r="C1202" s="74" t="s">
        <v>370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/>
      <c r="O1202" s="81"/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>
      <c r="A1203" s="74" t="s">
        <v>3212</v>
      </c>
      <c r="B1203" s="71" t="str">
        <f>IFERROR(VLOOKUP(Proc[[#This Row],[App]],Table2[],3,0),"open")</f>
        <v>open</v>
      </c>
      <c r="C1203" s="74" t="s">
        <v>370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/>
      <c r="O1203" s="81"/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>
      <c r="A1204" s="74" t="s">
        <v>3212</v>
      </c>
      <c r="B1204" s="71" t="str">
        <f>IFERROR(VLOOKUP(Proc[[#This Row],[App]],Table2[],3,0),"open")</f>
        <v>open</v>
      </c>
      <c r="C1204" s="74" t="s">
        <v>370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/>
      <c r="O1204" s="81"/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>
      <c r="A1205" s="74" t="s">
        <v>3212</v>
      </c>
      <c r="B1205" s="71" t="str">
        <f>IFERROR(VLOOKUP(Proc[[#This Row],[App]],Table2[],3,0),"open")</f>
        <v>open</v>
      </c>
      <c r="C1205" s="74" t="s">
        <v>370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/>
      <c r="O1205" s="81"/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>
      <c r="A1206" s="74" t="s">
        <v>3212</v>
      </c>
      <c r="B1206" s="71" t="str">
        <f>IFERROR(VLOOKUP(Proc[[#This Row],[App]],Table2[],3,0),"open")</f>
        <v>open</v>
      </c>
      <c r="C1206" s="74" t="s">
        <v>370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/>
      <c r="O1206" s="81"/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>
      <c r="A1207" s="74" t="s">
        <v>3212</v>
      </c>
      <c r="B1207" s="71" t="str">
        <f>IFERROR(VLOOKUP(Proc[[#This Row],[App]],Table2[],3,0),"open")</f>
        <v>open</v>
      </c>
      <c r="C1207" s="74" t="s">
        <v>370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/>
      <c r="O1207" s="81"/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>
      <c r="A1208" s="74" t="s">
        <v>3212</v>
      </c>
      <c r="B1208" s="71" t="str">
        <f>IFERROR(VLOOKUP(Proc[[#This Row],[App]],Table2[],3,0),"open")</f>
        <v>open</v>
      </c>
      <c r="C1208" s="74" t="s">
        <v>370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/>
      <c r="O1208" s="81"/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>
      <c r="A1209" s="74" t="s">
        <v>3212</v>
      </c>
      <c r="B1209" s="71" t="str">
        <f>IFERROR(VLOOKUP(Proc[[#This Row],[App]],Table2[],3,0),"open")</f>
        <v>open</v>
      </c>
      <c r="C1209" s="74" t="s">
        <v>370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/>
      <c r="O1209" s="81"/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>
      <c r="A1210" s="74" t="s">
        <v>3212</v>
      </c>
      <c r="B1210" s="71" t="str">
        <f>IFERROR(VLOOKUP(Proc[[#This Row],[App]],Table2[],3,0),"open")</f>
        <v>open</v>
      </c>
      <c r="C1210" s="74" t="s">
        <v>370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/>
      <c r="O1210" s="81"/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>
      <c r="A1211" s="74" t="s">
        <v>3212</v>
      </c>
      <c r="B1211" s="71" t="str">
        <f>IFERROR(VLOOKUP(Proc[[#This Row],[App]],Table2[],3,0),"open")</f>
        <v>open</v>
      </c>
      <c r="C1211" s="74" t="s">
        <v>370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/>
      <c r="O1211" s="81"/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>
      <c r="A1212" s="74" t="s">
        <v>3212</v>
      </c>
      <c r="B1212" s="71" t="str">
        <f>IFERROR(VLOOKUP(Proc[[#This Row],[App]],Table2[],3,0),"open")</f>
        <v>open</v>
      </c>
      <c r="C1212" s="74" t="s">
        <v>370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/>
      <c r="O1212" s="81"/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>
      <c r="A1213" s="74" t="s">
        <v>3212</v>
      </c>
      <c r="B1213" s="71" t="str">
        <f>IFERROR(VLOOKUP(Proc[[#This Row],[App]],Table2[],3,0),"open")</f>
        <v>open</v>
      </c>
      <c r="C1213" s="74" t="s">
        <v>370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/>
      <c r="O1213" s="81"/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>
      <c r="A1214" s="74" t="s">
        <v>3212</v>
      </c>
      <c r="B1214" s="71" t="str">
        <f>IFERROR(VLOOKUP(Proc[[#This Row],[App]],Table2[],3,0),"open")</f>
        <v>open</v>
      </c>
      <c r="C1214" s="74" t="s">
        <v>370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/>
      <c r="O1214" s="81"/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>
      <c r="A1215" s="74" t="s">
        <v>3212</v>
      </c>
      <c r="B1215" s="71" t="str">
        <f>IFERROR(VLOOKUP(Proc[[#This Row],[App]],Table2[],3,0),"open")</f>
        <v>open</v>
      </c>
      <c r="C1215" s="74" t="s">
        <v>370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/>
      <c r="O1215" s="81"/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>
      <c r="A1216" s="74" t="s">
        <v>3212</v>
      </c>
      <c r="B1216" s="71" t="str">
        <f>IFERROR(VLOOKUP(Proc[[#This Row],[App]],Table2[],3,0),"open")</f>
        <v>open</v>
      </c>
      <c r="C1216" s="74" t="s">
        <v>370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/>
      <c r="O1216" s="81"/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>
      <c r="A1217" s="74" t="s">
        <v>3212</v>
      </c>
      <c r="B1217" s="71" t="str">
        <f>IFERROR(VLOOKUP(Proc[[#This Row],[App]],Table2[],3,0),"open")</f>
        <v>open</v>
      </c>
      <c r="C1217" s="74" t="s">
        <v>370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/>
      <c r="O1217" s="81"/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>
      <c r="A1218" s="74" t="s">
        <v>3212</v>
      </c>
      <c r="B1218" s="71" t="str">
        <f>IFERROR(VLOOKUP(Proc[[#This Row],[App]],Table2[],3,0),"open")</f>
        <v>open</v>
      </c>
      <c r="C1218" s="74" t="s">
        <v>370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/>
      <c r="O1218" s="81"/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>
      <c r="A1219" s="74" t="s">
        <v>3212</v>
      </c>
      <c r="B1219" s="71" t="str">
        <f>IFERROR(VLOOKUP(Proc[[#This Row],[App]],Table2[],3,0),"open")</f>
        <v>open</v>
      </c>
      <c r="C1219" s="74" t="s">
        <v>370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/>
      <c r="O1219" s="81"/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>
      <c r="A1220" s="74" t="s">
        <v>3212</v>
      </c>
      <c r="B1220" s="71" t="str">
        <f>IFERROR(VLOOKUP(Proc[[#This Row],[App]],Table2[],3,0),"open")</f>
        <v>open</v>
      </c>
      <c r="C1220" s="74" t="s">
        <v>370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/>
      <c r="O1220" s="81"/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>
      <c r="A1221" s="74" t="s">
        <v>3212</v>
      </c>
      <c r="B1221" s="71" t="str">
        <f>IFERROR(VLOOKUP(Proc[[#This Row],[App]],Table2[],3,0),"open")</f>
        <v>open</v>
      </c>
      <c r="C1221" s="74" t="s">
        <v>370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/>
      <c r="O1221" s="81"/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>
      <c r="A1222" s="74" t="s">
        <v>3212</v>
      </c>
      <c r="B1222" s="71" t="str">
        <f>IFERROR(VLOOKUP(Proc[[#This Row],[App]],Table2[],3,0),"open")</f>
        <v>open</v>
      </c>
      <c r="C1222" s="74" t="s">
        <v>370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/>
      <c r="O1222" s="81"/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>
      <c r="A1223" s="74" t="s">
        <v>3212</v>
      </c>
      <c r="B1223" s="71" t="str">
        <f>IFERROR(VLOOKUP(Proc[[#This Row],[App]],Table2[],3,0),"open")</f>
        <v>open</v>
      </c>
      <c r="C1223" s="74" t="s">
        <v>370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/>
      <c r="O1223" s="81"/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>
      <c r="A1224" s="74" t="s">
        <v>3212</v>
      </c>
      <c r="B1224" s="71" t="str">
        <f>IFERROR(VLOOKUP(Proc[[#This Row],[App]],Table2[],3,0),"open")</f>
        <v>open</v>
      </c>
      <c r="C1224" s="74" t="s">
        <v>370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/>
      <c r="O1224" s="81"/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>
      <c r="A1225" s="74" t="s">
        <v>3212</v>
      </c>
      <c r="B1225" s="71" t="str">
        <f>IFERROR(VLOOKUP(Proc[[#This Row],[App]],Table2[],3,0),"open")</f>
        <v>open</v>
      </c>
      <c r="C1225" s="74" t="s">
        <v>370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/>
      <c r="O1225" s="81"/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>
      <c r="A1226" s="74" t="s">
        <v>3212</v>
      </c>
      <c r="B1226" s="71" t="str">
        <f>IFERROR(VLOOKUP(Proc[[#This Row],[App]],Table2[],3,0),"open")</f>
        <v>open</v>
      </c>
      <c r="C1226" s="74" t="s">
        <v>370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/>
      <c r="O1226" s="81"/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>
      <c r="A1227" s="74" t="s">
        <v>3212</v>
      </c>
      <c r="B1227" s="71" t="str">
        <f>IFERROR(VLOOKUP(Proc[[#This Row],[App]],Table2[],3,0),"open")</f>
        <v>open</v>
      </c>
      <c r="C1227" s="74" t="s">
        <v>370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/>
      <c r="O1227" s="81"/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>
      <c r="A1228" s="74" t="s">
        <v>3212</v>
      </c>
      <c r="B1228" s="71" t="str">
        <f>IFERROR(VLOOKUP(Proc[[#This Row],[App]],Table2[],3,0),"open")</f>
        <v>open</v>
      </c>
      <c r="C1228" s="74" t="s">
        <v>370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/>
      <c r="O1228" s="81"/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>
      <c r="A1229" s="74" t="s">
        <v>3212</v>
      </c>
      <c r="B1229" s="71" t="str">
        <f>IFERROR(VLOOKUP(Proc[[#This Row],[App]],Table2[],3,0),"open")</f>
        <v>open</v>
      </c>
      <c r="C1229" s="74" t="s">
        <v>370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/>
      <c r="O1229" s="81"/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>
      <c r="A1230" s="74" t="s">
        <v>3212</v>
      </c>
      <c r="B1230" s="71" t="str">
        <f>IFERROR(VLOOKUP(Proc[[#This Row],[App]],Table2[],3,0),"open")</f>
        <v>open</v>
      </c>
      <c r="C1230" s="74" t="s">
        <v>370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/>
      <c r="O1230" s="81"/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>
      <c r="A1231" s="74" t="s">
        <v>3212</v>
      </c>
      <c r="B1231" s="71" t="str">
        <f>IFERROR(VLOOKUP(Proc[[#This Row],[App]],Table2[],3,0),"open")</f>
        <v>open</v>
      </c>
      <c r="C1231" s="74" t="s">
        <v>370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/>
      <c r="O1231" s="81"/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>
      <c r="A1232" s="74" t="s">
        <v>3212</v>
      </c>
      <c r="B1232" s="71" t="str">
        <f>IFERROR(VLOOKUP(Proc[[#This Row],[App]],Table2[],3,0),"open")</f>
        <v>open</v>
      </c>
      <c r="C1232" s="74" t="s">
        <v>370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/>
      <c r="O1232" s="81"/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>
      <c r="A1233" s="74" t="s">
        <v>3212</v>
      </c>
      <c r="B1233" s="71" t="str">
        <f>IFERROR(VLOOKUP(Proc[[#This Row],[App]],Table2[],3,0),"open")</f>
        <v>open</v>
      </c>
      <c r="C1233" s="74" t="s">
        <v>370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/>
      <c r="O1233" s="81"/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>
      <c r="A1234" s="74" t="s">
        <v>3212</v>
      </c>
      <c r="B1234" s="71" t="str">
        <f>IFERROR(VLOOKUP(Proc[[#This Row],[App]],Table2[],3,0),"open")</f>
        <v>open</v>
      </c>
      <c r="C1234" s="74" t="s">
        <v>370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/>
      <c r="O1234" s="81"/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>
      <c r="A1235" s="74" t="s">
        <v>3212</v>
      </c>
      <c r="B1235" s="71" t="str">
        <f>IFERROR(VLOOKUP(Proc[[#This Row],[App]],Table2[],3,0),"open")</f>
        <v>open</v>
      </c>
      <c r="C1235" s="74" t="s">
        <v>370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/>
      <c r="O1235" s="81"/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>
      <c r="A1236" s="74" t="s">
        <v>3212</v>
      </c>
      <c r="B1236" s="71" t="str">
        <f>IFERROR(VLOOKUP(Proc[[#This Row],[App]],Table2[],3,0),"open")</f>
        <v>open</v>
      </c>
      <c r="C1236" s="74" t="s">
        <v>370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/>
      <c r="O1236" s="81"/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>
      <c r="A1237" s="74" t="s">
        <v>3212</v>
      </c>
      <c r="B1237" s="71" t="str">
        <f>IFERROR(VLOOKUP(Proc[[#This Row],[App]],Table2[],3,0),"open")</f>
        <v>open</v>
      </c>
      <c r="C1237" s="74" t="s">
        <v>370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/>
      <c r="O1237" s="81"/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>
      <c r="A1238" s="74" t="s">
        <v>3212</v>
      </c>
      <c r="B1238" s="71" t="str">
        <f>IFERROR(VLOOKUP(Proc[[#This Row],[App]],Table2[],3,0),"open")</f>
        <v>open</v>
      </c>
      <c r="C1238" s="74" t="s">
        <v>370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/>
      <c r="O1238" s="81"/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>
      <c r="A1239" s="74" t="s">
        <v>3212</v>
      </c>
      <c r="B1239" s="71" t="str">
        <f>IFERROR(VLOOKUP(Proc[[#This Row],[App]],Table2[],3,0),"open")</f>
        <v>open</v>
      </c>
      <c r="C1239" s="74" t="s">
        <v>370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/>
      <c r="O1239" s="81"/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>
      <c r="A1240" s="74" t="s">
        <v>3212</v>
      </c>
      <c r="B1240" s="71" t="str">
        <f>IFERROR(VLOOKUP(Proc[[#This Row],[App]],Table2[],3,0),"open")</f>
        <v>open</v>
      </c>
      <c r="C1240" s="74" t="s">
        <v>370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/>
      <c r="O1240" s="81"/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>
      <c r="A1241" s="74" t="s">
        <v>3212</v>
      </c>
      <c r="B1241" s="71" t="str">
        <f>IFERROR(VLOOKUP(Proc[[#This Row],[App]],Table2[],3,0),"open")</f>
        <v>open</v>
      </c>
      <c r="C1241" s="74" t="s">
        <v>370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/>
      <c r="O1241" s="81"/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>
      <c r="A1242" s="74" t="s">
        <v>3212</v>
      </c>
      <c r="B1242" s="71" t="str">
        <f>IFERROR(VLOOKUP(Proc[[#This Row],[App]],Table2[],3,0),"open")</f>
        <v>open</v>
      </c>
      <c r="C1242" s="74" t="s">
        <v>370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/>
      <c r="O1242" s="81"/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>
      <c r="A1243" s="74" t="s">
        <v>3212</v>
      </c>
      <c r="B1243" s="71" t="str">
        <f>IFERROR(VLOOKUP(Proc[[#This Row],[App]],Table2[],3,0),"open")</f>
        <v>open</v>
      </c>
      <c r="C1243" s="74" t="s">
        <v>370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/>
      <c r="O1243" s="81"/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>
      <c r="A1244" s="74" t="s">
        <v>3212</v>
      </c>
      <c r="B1244" s="71" t="str">
        <f>IFERROR(VLOOKUP(Proc[[#This Row],[App]],Table2[],3,0),"open")</f>
        <v>open</v>
      </c>
      <c r="C1244" s="74" t="s">
        <v>370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/>
      <c r="O1244" s="81"/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>
      <c r="A1245" s="74" t="s">
        <v>3212</v>
      </c>
      <c r="B1245" s="71" t="str">
        <f>IFERROR(VLOOKUP(Proc[[#This Row],[App]],Table2[],3,0),"open")</f>
        <v>open</v>
      </c>
      <c r="C1245" s="74" t="s">
        <v>370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/>
      <c r="O1245" s="81"/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>
      <c r="A1246" s="74" t="s">
        <v>3212</v>
      </c>
      <c r="B1246" s="71" t="str">
        <f>IFERROR(VLOOKUP(Proc[[#This Row],[App]],Table2[],3,0),"open")</f>
        <v>open</v>
      </c>
      <c r="C1246" s="74" t="s">
        <v>370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/>
      <c r="O1246" s="81"/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>
      <c r="A1247" s="74" t="s">
        <v>3212</v>
      </c>
      <c r="B1247" s="71" t="str">
        <f>IFERROR(VLOOKUP(Proc[[#This Row],[App]],Table2[],3,0),"open")</f>
        <v>open</v>
      </c>
      <c r="C1247" s="74" t="s">
        <v>370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/>
      <c r="O1247" s="81"/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>
      <c r="A1248" s="74" t="s">
        <v>3212</v>
      </c>
      <c r="B1248" s="71" t="str">
        <f>IFERROR(VLOOKUP(Proc[[#This Row],[App]],Table2[],3,0),"open")</f>
        <v>open</v>
      </c>
      <c r="C1248" s="74" t="s">
        <v>370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/>
      <c r="O1248" s="81"/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>
      <c r="A1249" s="74" t="s">
        <v>3212</v>
      </c>
      <c r="B1249" s="71" t="str">
        <f>IFERROR(VLOOKUP(Proc[[#This Row],[App]],Table2[],3,0),"open")</f>
        <v>open</v>
      </c>
      <c r="C1249" s="74" t="s">
        <v>370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/>
      <c r="O1249" s="81"/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>
      <c r="A1250" s="74" t="s">
        <v>3212</v>
      </c>
      <c r="B1250" s="71" t="str">
        <f>IFERROR(VLOOKUP(Proc[[#This Row],[App]],Table2[],3,0),"open")</f>
        <v>open</v>
      </c>
      <c r="C1250" s="74" t="s">
        <v>370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/>
      <c r="O1250" s="81"/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>
      <c r="A1251" s="74" t="s">
        <v>3212</v>
      </c>
      <c r="B1251" s="71" t="str">
        <f>IFERROR(VLOOKUP(Proc[[#This Row],[App]],Table2[],3,0),"open")</f>
        <v>open</v>
      </c>
      <c r="C1251" s="74" t="s">
        <v>370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/>
      <c r="O1251" s="81"/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>
      <c r="A1252" s="74" t="s">
        <v>3212</v>
      </c>
      <c r="B1252" s="71" t="str">
        <f>IFERROR(VLOOKUP(Proc[[#This Row],[App]],Table2[],3,0),"open")</f>
        <v>open</v>
      </c>
      <c r="C1252" s="74" t="s">
        <v>370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/>
      <c r="O1252" s="81"/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>
      <c r="A1253" s="74" t="s">
        <v>3212</v>
      </c>
      <c r="B1253" s="71" t="str">
        <f>IFERROR(VLOOKUP(Proc[[#This Row],[App]],Table2[],3,0),"open")</f>
        <v>open</v>
      </c>
      <c r="C1253" s="74" t="s">
        <v>370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/>
      <c r="O1253" s="81"/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>
      <c r="A1254" s="74" t="s">
        <v>3212</v>
      </c>
      <c r="B1254" s="71" t="str">
        <f>IFERROR(VLOOKUP(Proc[[#This Row],[App]],Table2[],3,0),"open")</f>
        <v>open</v>
      </c>
      <c r="C1254" s="74" t="s">
        <v>370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/>
      <c r="O1254" s="81"/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>
      <c r="A1255" s="74" t="s">
        <v>3212</v>
      </c>
      <c r="B1255" s="71" t="str">
        <f>IFERROR(VLOOKUP(Proc[[#This Row],[App]],Table2[],3,0),"open")</f>
        <v>open</v>
      </c>
      <c r="C1255" s="74" t="s">
        <v>370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/>
      <c r="O1255" s="81"/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>
      <c r="A1256" s="74" t="s">
        <v>3212</v>
      </c>
      <c r="B1256" s="71" t="str">
        <f>IFERROR(VLOOKUP(Proc[[#This Row],[App]],Table2[],3,0),"open")</f>
        <v>open</v>
      </c>
      <c r="C1256" s="74" t="s">
        <v>370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/>
      <c r="O1256" s="81"/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>
      <c r="A1257" s="74" t="s">
        <v>3212</v>
      </c>
      <c r="B1257" s="71" t="str">
        <f>IFERROR(VLOOKUP(Proc[[#This Row],[App]],Table2[],3,0),"open")</f>
        <v>open</v>
      </c>
      <c r="C1257" s="74" t="s">
        <v>370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/>
      <c r="O1257" s="81"/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>
      <c r="A1258" s="74" t="s">
        <v>3212</v>
      </c>
      <c r="B1258" s="71" t="str">
        <f>IFERROR(VLOOKUP(Proc[[#This Row],[App]],Table2[],3,0),"open")</f>
        <v>open</v>
      </c>
      <c r="C1258" s="74" t="s">
        <v>370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/>
      <c r="O1258" s="81"/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>
      <c r="A1259" s="74" t="s">
        <v>3212</v>
      </c>
      <c r="B1259" s="71" t="str">
        <f>IFERROR(VLOOKUP(Proc[[#This Row],[App]],Table2[],3,0),"open")</f>
        <v>open</v>
      </c>
      <c r="C1259" s="74" t="s">
        <v>370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/>
      <c r="O1259" s="81"/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>
      <c r="A1260" s="74" t="s">
        <v>3212</v>
      </c>
      <c r="B1260" s="71" t="str">
        <f>IFERROR(VLOOKUP(Proc[[#This Row],[App]],Table2[],3,0),"open")</f>
        <v>open</v>
      </c>
      <c r="C1260" s="74" t="s">
        <v>370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/>
      <c r="O1260" s="81"/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>
      <c r="A1261" s="74" t="s">
        <v>3212</v>
      </c>
      <c r="B1261" s="71" t="str">
        <f>IFERROR(VLOOKUP(Proc[[#This Row],[App]],Table2[],3,0),"open")</f>
        <v>open</v>
      </c>
      <c r="C1261" s="74" t="s">
        <v>370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/>
      <c r="O1261" s="81"/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>
      <c r="A1262" s="74" t="s">
        <v>3212</v>
      </c>
      <c r="B1262" s="71" t="str">
        <f>IFERROR(VLOOKUP(Proc[[#This Row],[App]],Table2[],3,0),"open")</f>
        <v>open</v>
      </c>
      <c r="C1262" s="74" t="s">
        <v>370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/>
      <c r="O1262" s="81"/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>
      <c r="A1263" s="74" t="s">
        <v>3212</v>
      </c>
      <c r="B1263" s="71" t="str">
        <f>IFERROR(VLOOKUP(Proc[[#This Row],[App]],Table2[],3,0),"open")</f>
        <v>open</v>
      </c>
      <c r="C1263" s="74" t="s">
        <v>370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/>
      <c r="O1263" s="81"/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>
      <c r="A1264" s="74" t="s">
        <v>3212</v>
      </c>
      <c r="B1264" s="71" t="str">
        <f>IFERROR(VLOOKUP(Proc[[#This Row],[App]],Table2[],3,0),"open")</f>
        <v>open</v>
      </c>
      <c r="C1264" s="74" t="s">
        <v>370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/>
      <c r="O1264" s="81"/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>
      <c r="A1265" s="74" t="s">
        <v>3212</v>
      </c>
      <c r="B1265" s="71" t="str">
        <f>IFERROR(VLOOKUP(Proc[[#This Row],[App]],Table2[],3,0),"open")</f>
        <v>open</v>
      </c>
      <c r="C1265" s="74" t="s">
        <v>370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/>
      <c r="O1265" s="81"/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>
      <c r="A1266" s="74" t="s">
        <v>3212</v>
      </c>
      <c r="B1266" s="71" t="str">
        <f>IFERROR(VLOOKUP(Proc[[#This Row],[App]],Table2[],3,0),"open")</f>
        <v>open</v>
      </c>
      <c r="C1266" s="74" t="s">
        <v>370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/>
      <c r="O1266" s="81"/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>
      <c r="A1267" s="74" t="s">
        <v>3212</v>
      </c>
      <c r="B1267" s="71" t="str">
        <f>IFERROR(VLOOKUP(Proc[[#This Row],[App]],Table2[],3,0),"open")</f>
        <v>open</v>
      </c>
      <c r="C1267" s="74" t="s">
        <v>370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/>
      <c r="O1267" s="81"/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>
      <c r="A1268" s="74" t="s">
        <v>3212</v>
      </c>
      <c r="B1268" s="71" t="str">
        <f>IFERROR(VLOOKUP(Proc[[#This Row],[App]],Table2[],3,0),"open")</f>
        <v>open</v>
      </c>
      <c r="C1268" s="74" t="s">
        <v>370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/>
      <c r="O1268" s="81"/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>
      <c r="A1269" s="74" t="s">
        <v>3212</v>
      </c>
      <c r="B1269" s="71" t="str">
        <f>IFERROR(VLOOKUP(Proc[[#This Row],[App]],Table2[],3,0),"open")</f>
        <v>open</v>
      </c>
      <c r="C1269" s="74" t="s">
        <v>370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/>
      <c r="O1269" s="81"/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>
      <c r="A1270" s="74" t="s">
        <v>3212</v>
      </c>
      <c r="B1270" s="71" t="str">
        <f>IFERROR(VLOOKUP(Proc[[#This Row],[App]],Table2[],3,0),"open")</f>
        <v>open</v>
      </c>
      <c r="C1270" s="74" t="s">
        <v>370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/>
      <c r="O1270" s="81"/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>
      <c r="A1271" s="74" t="s">
        <v>3212</v>
      </c>
      <c r="B1271" s="71" t="str">
        <f>IFERROR(VLOOKUP(Proc[[#This Row],[App]],Table2[],3,0),"open")</f>
        <v>open</v>
      </c>
      <c r="C1271" s="74" t="s">
        <v>370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/>
      <c r="O1271" s="81"/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>
      <c r="A1272" s="74" t="s">
        <v>3212</v>
      </c>
      <c r="B1272" s="71" t="str">
        <f>IFERROR(VLOOKUP(Proc[[#This Row],[App]],Table2[],3,0),"open")</f>
        <v>open</v>
      </c>
      <c r="C1272" s="74" t="s">
        <v>370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/>
      <c r="O1272" s="81"/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>
      <c r="A1273" s="74" t="s">
        <v>3212</v>
      </c>
      <c r="B1273" s="71" t="str">
        <f>IFERROR(VLOOKUP(Proc[[#This Row],[App]],Table2[],3,0),"open")</f>
        <v>open</v>
      </c>
      <c r="C1273" s="74" t="s">
        <v>370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/>
      <c r="O1273" s="81"/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>
      <c r="A1274" s="74" t="s">
        <v>3212</v>
      </c>
      <c r="B1274" s="71" t="str">
        <f>IFERROR(VLOOKUP(Proc[[#This Row],[App]],Table2[],3,0),"open")</f>
        <v>open</v>
      </c>
      <c r="C1274" s="74" t="s">
        <v>370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/>
      <c r="O1274" s="81"/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>
      <c r="A1275" s="74" t="s">
        <v>3212</v>
      </c>
      <c r="B1275" s="71" t="str">
        <f>IFERROR(VLOOKUP(Proc[[#This Row],[App]],Table2[],3,0),"open")</f>
        <v>open</v>
      </c>
      <c r="C1275" s="74" t="s">
        <v>370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/>
      <c r="O1275" s="81"/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>
      <c r="A1276" s="74" t="s">
        <v>3212</v>
      </c>
      <c r="B1276" s="71" t="str">
        <f>IFERROR(VLOOKUP(Proc[[#This Row],[App]],Table2[],3,0),"open")</f>
        <v>open</v>
      </c>
      <c r="C1276" s="74" t="s">
        <v>370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/>
      <c r="O1276" s="81"/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>
      <c r="A1277" s="74" t="s">
        <v>3212</v>
      </c>
      <c r="B1277" s="71" t="str">
        <f>IFERROR(VLOOKUP(Proc[[#This Row],[App]],Table2[],3,0),"open")</f>
        <v>open</v>
      </c>
      <c r="C1277" s="74" t="s">
        <v>370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/>
      <c r="O1277" s="81"/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>
      <c r="A1278" s="74" t="s">
        <v>3212</v>
      </c>
      <c r="B1278" s="71" t="str">
        <f>IFERROR(VLOOKUP(Proc[[#This Row],[App]],Table2[],3,0),"open")</f>
        <v>open</v>
      </c>
      <c r="C1278" s="74" t="s">
        <v>370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/>
      <c r="O1278" s="81"/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>
      <c r="A1279" s="74" t="s">
        <v>3212</v>
      </c>
      <c r="B1279" s="71" t="str">
        <f>IFERROR(VLOOKUP(Proc[[#This Row],[App]],Table2[],3,0),"open")</f>
        <v>open</v>
      </c>
      <c r="C1279" s="74" t="s">
        <v>370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/>
      <c r="O1279" s="81"/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>
      <c r="A1280" s="74" t="s">
        <v>3212</v>
      </c>
      <c r="B1280" s="71" t="str">
        <f>IFERROR(VLOOKUP(Proc[[#This Row],[App]],Table2[],3,0),"open")</f>
        <v>open</v>
      </c>
      <c r="C1280" s="74" t="s">
        <v>370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/>
      <c r="O1280" s="81"/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>
      <c r="A1281" s="74" t="s">
        <v>3212</v>
      </c>
      <c r="B1281" s="71" t="str">
        <f>IFERROR(VLOOKUP(Proc[[#This Row],[App]],Table2[],3,0),"open")</f>
        <v>open</v>
      </c>
      <c r="C1281" s="74" t="s">
        <v>370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/>
      <c r="O1281" s="81"/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>
      <c r="A1282" s="74" t="s">
        <v>3212</v>
      </c>
      <c r="B1282" s="71" t="str">
        <f>IFERROR(VLOOKUP(Proc[[#This Row],[App]],Table2[],3,0),"open")</f>
        <v>open</v>
      </c>
      <c r="C1282" s="74" t="s">
        <v>370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/>
      <c r="O1282" s="81"/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>
      <c r="A1283" s="74" t="s">
        <v>3212</v>
      </c>
      <c r="B1283" s="71" t="str">
        <f>IFERROR(VLOOKUP(Proc[[#This Row],[App]],Table2[],3,0),"open")</f>
        <v>open</v>
      </c>
      <c r="C1283" s="74" t="s">
        <v>370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/>
      <c r="O1283" s="81"/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>
      <c r="A1284" s="74" t="s">
        <v>3212</v>
      </c>
      <c r="B1284" s="71" t="str">
        <f>IFERROR(VLOOKUP(Proc[[#This Row],[App]],Table2[],3,0),"open")</f>
        <v>open</v>
      </c>
      <c r="C1284" s="74" t="s">
        <v>370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/>
      <c r="O1284" s="81"/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>
      <c r="A1285" s="74" t="s">
        <v>3212</v>
      </c>
      <c r="B1285" s="71" t="str">
        <f>IFERROR(VLOOKUP(Proc[[#This Row],[App]],Table2[],3,0),"open")</f>
        <v>open</v>
      </c>
      <c r="C1285" s="74" t="s">
        <v>370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/>
      <c r="O1285" s="81"/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>
      <c r="A1286" s="74" t="s">
        <v>3212</v>
      </c>
      <c r="B1286" s="71" t="str">
        <f>IFERROR(VLOOKUP(Proc[[#This Row],[App]],Table2[],3,0),"open")</f>
        <v>open</v>
      </c>
      <c r="C1286" s="74" t="s">
        <v>370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/>
      <c r="O1286" s="81"/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>
      <c r="A1287" s="74" t="s">
        <v>3212</v>
      </c>
      <c r="B1287" s="71" t="str">
        <f>IFERROR(VLOOKUP(Proc[[#This Row],[App]],Table2[],3,0),"open")</f>
        <v>open</v>
      </c>
      <c r="C1287" s="74" t="s">
        <v>370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/>
      <c r="O1287" s="81"/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>
      <c r="A1288" s="74" t="s">
        <v>3212</v>
      </c>
      <c r="B1288" s="71" t="str">
        <f>IFERROR(VLOOKUP(Proc[[#This Row],[App]],Table2[],3,0),"open")</f>
        <v>open</v>
      </c>
      <c r="C1288" s="74" t="s">
        <v>370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/>
      <c r="O1288" s="81"/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>
      <c r="A1289" s="74" t="s">
        <v>3212</v>
      </c>
      <c r="B1289" s="71" t="str">
        <f>IFERROR(VLOOKUP(Proc[[#This Row],[App]],Table2[],3,0),"open")</f>
        <v>open</v>
      </c>
      <c r="C1289" s="74" t="s">
        <v>370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/>
      <c r="O1289" s="81"/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>
      <c r="A1290" s="74" t="s">
        <v>3212</v>
      </c>
      <c r="B1290" s="71" t="str">
        <f>IFERROR(VLOOKUP(Proc[[#This Row],[App]],Table2[],3,0),"open")</f>
        <v>open</v>
      </c>
      <c r="C1290" s="74" t="s">
        <v>370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/>
      <c r="O1290" s="81"/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>
      <c r="A1291" s="74" t="s">
        <v>3212</v>
      </c>
      <c r="B1291" s="71" t="str">
        <f>IFERROR(VLOOKUP(Proc[[#This Row],[App]],Table2[],3,0),"open")</f>
        <v>open</v>
      </c>
      <c r="C1291" s="74" t="s">
        <v>370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/>
      <c r="O1291" s="81"/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>
      <c r="A1292" s="74" t="s">
        <v>3212</v>
      </c>
      <c r="B1292" s="71" t="str">
        <f>IFERROR(VLOOKUP(Proc[[#This Row],[App]],Table2[],3,0),"open")</f>
        <v>open</v>
      </c>
      <c r="C1292" s="74" t="s">
        <v>370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/>
      <c r="O1292" s="81"/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>
      <c r="A1293" s="74" t="s">
        <v>3212</v>
      </c>
      <c r="B1293" s="71" t="str">
        <f>IFERROR(VLOOKUP(Proc[[#This Row],[App]],Table2[],3,0),"open")</f>
        <v>open</v>
      </c>
      <c r="C1293" s="74" t="s">
        <v>370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/>
      <c r="O1293" s="81"/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>
      <c r="A1294" t="s">
        <v>3409</v>
      </c>
      <c r="B1294" s="71" t="str">
        <f>IFERROR(VLOOKUP(Proc[[#This Row],[App]],Table2[],3,0),"open")</f>
        <v>open</v>
      </c>
      <c r="C1294" s="74" t="s">
        <v>370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/>
      <c r="O1294" s="81"/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>
      <c r="A1295" t="s">
        <v>3411</v>
      </c>
      <c r="B1295" s="71" t="str">
        <f>IFERROR(VLOOKUP(Proc[[#This Row],[App]],Table2[],3,0),"open")</f>
        <v>open</v>
      </c>
      <c r="C1295" t="s">
        <v>370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/>
      <c r="O1295" s="81"/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open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/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>
      <c r="A1297" t="s">
        <v>3414</v>
      </c>
      <c r="B1297" s="71" t="str">
        <f>IFERROR(VLOOKUP(Proc[[#This Row],[App]],Table2[],3,0),"open")</f>
        <v>open</v>
      </c>
      <c r="C1297" s="74" t="s">
        <v>370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/>
      <c r="O1297" s="81"/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>
      <c r="A1298" t="s">
        <v>3418</v>
      </c>
      <c r="B1298" s="71" t="str">
        <f>IFERROR(VLOOKUP(Proc[[#This Row],[App]],Table2[],3,0),"open")</f>
        <v>open</v>
      </c>
      <c r="C1298" s="74" t="s">
        <v>370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/>
      <c r="O1298" s="81"/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>
      <c r="A1299" t="s">
        <v>3428</v>
      </c>
      <c r="B1299" s="71" t="str">
        <f>IFERROR(VLOOKUP(Proc[[#This Row],[App]],Table2[],3,0),"open")</f>
        <v>open</v>
      </c>
      <c r="C1299" t="s">
        <v>370</v>
      </c>
      <c r="D1299" s="74" t="s">
        <v>3421</v>
      </c>
      <c r="E1299" t="s">
        <v>3427</v>
      </c>
      <c r="F1299" s="71"/>
      <c r="G1299" s="74" t="s">
        <v>400</v>
      </c>
      <c r="H1299" s="71" t="str">
        <f>IF(Proc[[#This Row],[type]]="LFF (MDG-F)",MID(Proc[[#This Row],[Obj]],13,10),"")</f>
        <v/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MGF</v>
      </c>
      <c r="L1299" s="71" t="s">
        <v>2841</v>
      </c>
      <c r="M1299" s="82">
        <v>45789.598506944443</v>
      </c>
      <c r="N1299" s="82"/>
      <c r="O1299" s="82"/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1</v>
      </c>
      <c r="R1299" s="82" t="s">
        <v>538</v>
      </c>
      <c r="S1299" s="71"/>
    </row>
    <row r="1300" spans="1:19">
      <c r="A1300" s="74" t="s">
        <v>3428</v>
      </c>
      <c r="B1300" s="71" t="str">
        <f>IFERROR(VLOOKUP(Proc[[#This Row],[App]],Table2[],3,0),"open")</f>
        <v>open</v>
      </c>
      <c r="C1300" s="74" t="s">
        <v>370</v>
      </c>
      <c r="D1300" s="84" t="s">
        <v>3422</v>
      </c>
      <c r="E1300" t="s">
        <v>3427</v>
      </c>
      <c r="F1300" s="71"/>
      <c r="G1300" s="74" t="s">
        <v>400</v>
      </c>
      <c r="H1300" s="71" t="str">
        <f>IF(Proc[[#This Row],[type]]="LFF (MDG-F)",MID(Proc[[#This Row],[Obj]],13,10),"")</f>
        <v/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MGF</v>
      </c>
      <c r="L1300" s="71" t="s">
        <v>2841</v>
      </c>
      <c r="M1300" s="82">
        <v>45789.598506944443</v>
      </c>
      <c r="N1300" s="82"/>
      <c r="O1300" s="82"/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1</v>
      </c>
      <c r="R1300" s="82" t="s">
        <v>538</v>
      </c>
      <c r="S1300" s="71"/>
    </row>
    <row r="1301" spans="1:19" hidden="1">
      <c r="A1301" s="74" t="s">
        <v>3428</v>
      </c>
      <c r="B1301" s="71" t="str">
        <f>IFERROR(VLOOKUP(Proc[[#This Row],[App]],Table2[],3,0),"open")</f>
        <v>open</v>
      </c>
      <c r="C1301" s="74" t="s">
        <v>404</v>
      </c>
      <c r="D1301" s="85" t="s">
        <v>3423</v>
      </c>
      <c r="E1301" t="s">
        <v>3427</v>
      </c>
      <c r="F1301" s="71"/>
      <c r="G1301" t="s">
        <v>406</v>
      </c>
      <c r="H1301" s="71" t="str">
        <f>IF(Proc[[#This Row],[type]]="LFF (MDG-F)",MID(Proc[[#This Row],[Obj]],13,10),"")</f>
        <v>DE10GMW030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MGF</v>
      </c>
      <c r="L1301" s="71" t="s">
        <v>2841</v>
      </c>
      <c r="M1301" s="82">
        <v>45789.598506944443</v>
      </c>
      <c r="N1301" s="82"/>
      <c r="O1301" s="82"/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1</v>
      </c>
      <c r="R1301" s="82" t="s">
        <v>538</v>
      </c>
      <c r="S1301" s="71"/>
    </row>
    <row r="1302" spans="1:19">
      <c r="A1302" s="74" t="s">
        <v>3428</v>
      </c>
      <c r="B1302" s="71" t="str">
        <f>IFERROR(VLOOKUP(Proc[[#This Row],[App]],Table2[],3,0),"open")</f>
        <v>open</v>
      </c>
      <c r="C1302" s="74" t="s">
        <v>370</v>
      </c>
      <c r="D1302" s="85" t="s">
        <v>3424</v>
      </c>
      <c r="E1302" t="s">
        <v>3427</v>
      </c>
      <c r="F1302" s="71"/>
      <c r="G1302" s="74" t="s">
        <v>400</v>
      </c>
      <c r="H1302" s="71" t="str">
        <f>IF(Proc[[#This Row],[type]]="LFF (MDG-F)",MID(Proc[[#This Row],[Obj]],13,10),"")</f>
        <v/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MGF</v>
      </c>
      <c r="L1302" s="71" t="s">
        <v>2841</v>
      </c>
      <c r="M1302" s="82">
        <v>45789.598506944443</v>
      </c>
      <c r="N1302" s="82"/>
      <c r="O1302" s="82"/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1</v>
      </c>
      <c r="R1302" s="82" t="s">
        <v>538</v>
      </c>
      <c r="S1302" s="71"/>
    </row>
    <row r="1303" spans="1:19">
      <c r="A1303" s="74" t="s">
        <v>3428</v>
      </c>
      <c r="B1303" s="71" t="str">
        <f>IFERROR(VLOOKUP(Proc[[#This Row],[App]],Table2[],3,0),"open")</f>
        <v>open</v>
      </c>
      <c r="C1303" s="74" t="s">
        <v>370</v>
      </c>
      <c r="D1303" s="85" t="s">
        <v>3425</v>
      </c>
      <c r="E1303" t="s">
        <v>3427</v>
      </c>
      <c r="F1303" s="71"/>
      <c r="G1303" t="s">
        <v>400</v>
      </c>
      <c r="H1303" s="71" t="str">
        <f>IF(Proc[[#This Row],[type]]="LFF (MDG-F)",MID(Proc[[#This Row],[Obj]],13,10),"")</f>
        <v/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MGF</v>
      </c>
      <c r="L1303" s="71" t="s">
        <v>2841</v>
      </c>
      <c r="M1303" s="82">
        <v>45789.598506944443</v>
      </c>
      <c r="N1303" s="82"/>
      <c r="O1303" s="82"/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1</v>
      </c>
      <c r="R1303" s="82" t="s">
        <v>538</v>
      </c>
      <c r="S1303" s="71"/>
    </row>
    <row r="1304" spans="1:19" hidden="1">
      <c r="A1304" s="74" t="s">
        <v>3428</v>
      </c>
      <c r="B1304" s="71" t="str">
        <f>IFERROR(VLOOKUP(Proc[[#This Row],[App]],Table2[],3,0),"open")</f>
        <v>open</v>
      </c>
      <c r="C1304" s="74" t="s">
        <v>404</v>
      </c>
      <c r="D1304" s="85" t="s">
        <v>3426</v>
      </c>
      <c r="E1304" t="s">
        <v>3427</v>
      </c>
      <c r="F1304" s="71"/>
      <c r="G1304" s="74" t="s">
        <v>406</v>
      </c>
      <c r="H1304" s="71" t="str">
        <f>IF(Proc[[#This Row],[type]]="LFF (MDG-F)",MID(Proc[[#This Row],[Obj]],13,10),"")</f>
        <v>CN90GHR110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MGF</v>
      </c>
      <c r="L1304" s="71" t="s">
        <v>2841</v>
      </c>
      <c r="M1304" s="82">
        <v>45789.598506944443</v>
      </c>
      <c r="N1304" s="82"/>
      <c r="O1304" s="82"/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1</v>
      </c>
      <c r="R1304" s="82" t="s">
        <v>538</v>
      </c>
      <c r="S1304" s="71"/>
    </row>
    <row r="1305" spans="1:19">
      <c r="A1305" t="s">
        <v>3446</v>
      </c>
      <c r="B1305" s="71" t="str">
        <f>IFERROR(VLOOKUP(Proc[[#This Row],[App]],Table2[],3,0),"open")</f>
        <v>open</v>
      </c>
      <c r="C1305" s="74" t="s">
        <v>370</v>
      </c>
      <c r="D1305" t="s">
        <v>3429</v>
      </c>
      <c r="E1305" t="s">
        <v>2878</v>
      </c>
      <c r="F1305" s="71"/>
      <c r="G1305" t="s">
        <v>400</v>
      </c>
      <c r="H1305" s="71" t="str">
        <f>IF(Proc[[#This Row],[type]]="LFF (MDG-F)",MID(Proc[[#This Row],[Obj]],13,10),"")</f>
        <v/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2">
        <v>45789.598506944443</v>
      </c>
      <c r="N1305" s="82"/>
      <c r="O1305" s="82"/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1</v>
      </c>
      <c r="R1305" s="82" t="s">
        <v>508</v>
      </c>
      <c r="S1305" s="71"/>
    </row>
    <row r="1306" spans="1:19">
      <c r="A1306" s="74" t="s">
        <v>3446</v>
      </c>
      <c r="B1306" s="71" t="str">
        <f>IFERROR(VLOOKUP(Proc[[#This Row],[App]],Table2[],3,0),"open")</f>
        <v>open</v>
      </c>
      <c r="C1306" s="74" t="s">
        <v>370</v>
      </c>
      <c r="D1306" t="s">
        <v>3430</v>
      </c>
      <c r="E1306" s="74" t="s">
        <v>2878</v>
      </c>
      <c r="F1306" s="71"/>
      <c r="G1306" s="74" t="s">
        <v>400</v>
      </c>
      <c r="H1306" s="71" t="str">
        <f>IF(Proc[[#This Row],[type]]="LFF (MDG-F)",MID(Proc[[#This Row],[Obj]],13,10),"")</f>
        <v/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2">
        <v>45789.598506944443</v>
      </c>
      <c r="N1306" s="82"/>
      <c r="O1306" s="82"/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1</v>
      </c>
      <c r="R1306" s="82" t="s">
        <v>508</v>
      </c>
      <c r="S1306" s="71"/>
    </row>
    <row r="1307" spans="1:19">
      <c r="A1307" s="74" t="s">
        <v>3446</v>
      </c>
      <c r="B1307" s="71" t="str">
        <f>IFERROR(VLOOKUP(Proc[[#This Row],[App]],Table2[],3,0),"open")</f>
        <v>open</v>
      </c>
      <c r="C1307" s="74" t="s">
        <v>370</v>
      </c>
      <c r="D1307" t="s">
        <v>3431</v>
      </c>
      <c r="E1307" s="74" t="s">
        <v>2878</v>
      </c>
      <c r="F1307" s="71"/>
      <c r="G1307" s="74" t="s">
        <v>400</v>
      </c>
      <c r="H1307" s="71" t="str">
        <f>IF(Proc[[#This Row],[type]]="LFF (MDG-F)",MID(Proc[[#This Row],[Obj]],13,10),"")</f>
        <v/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2">
        <v>45789.598506944443</v>
      </c>
      <c r="N1307" s="82"/>
      <c r="O1307" s="82"/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1</v>
      </c>
      <c r="R1307" s="82" t="s">
        <v>508</v>
      </c>
      <c r="S1307" s="71"/>
    </row>
    <row r="1308" spans="1:19">
      <c r="A1308" s="74" t="s">
        <v>3446</v>
      </c>
      <c r="B1308" s="71" t="str">
        <f>IFERROR(VLOOKUP(Proc[[#This Row],[App]],Table2[],3,0),"open")</f>
        <v>open</v>
      </c>
      <c r="C1308" s="74" t="s">
        <v>370</v>
      </c>
      <c r="D1308" t="s">
        <v>3432</v>
      </c>
      <c r="E1308" t="s">
        <v>418</v>
      </c>
      <c r="F1308" s="71"/>
      <c r="G1308" s="74" t="s">
        <v>400</v>
      </c>
      <c r="H1308" s="71" t="str">
        <f>IF(Proc[[#This Row],[type]]="LFF (MDG-F)",MID(Proc[[#This Row],[Obj]],13,10),"")</f>
        <v/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2">
        <v>45789.598506944443</v>
      </c>
      <c r="N1308" s="82"/>
      <c r="O1308" s="82"/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1</v>
      </c>
      <c r="R1308" s="82" t="s">
        <v>508</v>
      </c>
      <c r="S1308" s="71"/>
    </row>
    <row r="1309" spans="1:19">
      <c r="A1309" s="74" t="s">
        <v>3446</v>
      </c>
      <c r="B1309" s="71" t="str">
        <f>IFERROR(VLOOKUP(Proc[[#This Row],[App]],Table2[],3,0),"open")</f>
        <v>open</v>
      </c>
      <c r="C1309" s="74" t="s">
        <v>370</v>
      </c>
      <c r="D1309" t="s">
        <v>3433</v>
      </c>
      <c r="E1309" s="74" t="s">
        <v>418</v>
      </c>
      <c r="F1309" s="71"/>
      <c r="G1309" s="74" t="s">
        <v>400</v>
      </c>
      <c r="H1309" s="71" t="str">
        <f>IF(Proc[[#This Row],[type]]="LFF (MDG-F)",MID(Proc[[#This Row],[Obj]],13,10),"")</f>
        <v/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2">
        <v>45789.598506944443</v>
      </c>
      <c r="N1309" s="82"/>
      <c r="O1309" s="82"/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1</v>
      </c>
      <c r="R1309" s="82" t="s">
        <v>508</v>
      </c>
      <c r="S1309" s="71"/>
    </row>
    <row r="1310" spans="1:19">
      <c r="A1310" s="74" t="s">
        <v>3446</v>
      </c>
      <c r="B1310" s="71" t="str">
        <f>IFERROR(VLOOKUP(Proc[[#This Row],[App]],Table2[],3,0),"open")</f>
        <v>open</v>
      </c>
      <c r="C1310" s="74" t="s">
        <v>370</v>
      </c>
      <c r="D1310" t="s">
        <v>3434</v>
      </c>
      <c r="E1310" s="74" t="s">
        <v>418</v>
      </c>
      <c r="F1310" s="71"/>
      <c r="G1310" s="74" t="s">
        <v>400</v>
      </c>
      <c r="H1310" s="71" t="str">
        <f>IF(Proc[[#This Row],[type]]="LFF (MDG-F)",MID(Proc[[#This Row],[Obj]],13,10),"")</f>
        <v/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2">
        <v>45789.598506944443</v>
      </c>
      <c r="N1310" s="82"/>
      <c r="O1310" s="82"/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1</v>
      </c>
      <c r="R1310" s="82" t="s">
        <v>508</v>
      </c>
      <c r="S1310" s="71"/>
    </row>
    <row r="1311" spans="1:19">
      <c r="A1311" s="74" t="s">
        <v>3446</v>
      </c>
      <c r="B1311" s="71" t="str">
        <f>IFERROR(VLOOKUP(Proc[[#This Row],[App]],Table2[],3,0),"open")</f>
        <v>open</v>
      </c>
      <c r="C1311" s="74" t="s">
        <v>370</v>
      </c>
      <c r="D1311" t="s">
        <v>3435</v>
      </c>
      <c r="E1311" s="74" t="s">
        <v>418</v>
      </c>
      <c r="F1311" s="71"/>
      <c r="G1311" s="74" t="s">
        <v>400</v>
      </c>
      <c r="H1311" s="71" t="str">
        <f>IF(Proc[[#This Row],[type]]="LFF (MDG-F)",MID(Proc[[#This Row],[Obj]],13,10),"")</f>
        <v/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2">
        <v>45789.598506944443</v>
      </c>
      <c r="N1311" s="82"/>
      <c r="O1311" s="82"/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1</v>
      </c>
      <c r="R1311" s="82" t="s">
        <v>508</v>
      </c>
      <c r="S1311" s="71"/>
    </row>
    <row r="1312" spans="1:19">
      <c r="A1312" s="74" t="s">
        <v>3446</v>
      </c>
      <c r="B1312" s="71" t="str">
        <f>IFERROR(VLOOKUP(Proc[[#This Row],[App]],Table2[],3,0),"open")</f>
        <v>open</v>
      </c>
      <c r="C1312" s="74" t="s">
        <v>370</v>
      </c>
      <c r="D1312" t="s">
        <v>3436</v>
      </c>
      <c r="E1312" s="74" t="s">
        <v>418</v>
      </c>
      <c r="F1312" s="71"/>
      <c r="G1312" s="74" t="s">
        <v>400</v>
      </c>
      <c r="H1312" s="71" t="str">
        <f>IF(Proc[[#This Row],[type]]="LFF (MDG-F)",MID(Proc[[#This Row],[Obj]],13,10),"")</f>
        <v/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2">
        <v>45789.598506944443</v>
      </c>
      <c r="N1312" s="82"/>
      <c r="O1312" s="82"/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1</v>
      </c>
      <c r="R1312" s="82" t="s">
        <v>508</v>
      </c>
      <c r="S1312" s="71"/>
    </row>
    <row r="1313" spans="1:19">
      <c r="A1313" s="74" t="s">
        <v>3446</v>
      </c>
      <c r="B1313" s="71" t="str">
        <f>IFERROR(VLOOKUP(Proc[[#This Row],[App]],Table2[],3,0),"open")</f>
        <v>open</v>
      </c>
      <c r="C1313" s="74" t="s">
        <v>370</v>
      </c>
      <c r="D1313" t="s">
        <v>3437</v>
      </c>
      <c r="E1313" s="74" t="s">
        <v>418</v>
      </c>
      <c r="F1313" s="71"/>
      <c r="G1313" s="74" t="s">
        <v>400</v>
      </c>
      <c r="H1313" s="71" t="str">
        <f>IF(Proc[[#This Row],[type]]="LFF (MDG-F)",MID(Proc[[#This Row],[Obj]],13,10),"")</f>
        <v/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2">
        <v>45789.598506944443</v>
      </c>
      <c r="N1313" s="82"/>
      <c r="O1313" s="82"/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1</v>
      </c>
      <c r="R1313" s="82" t="s">
        <v>508</v>
      </c>
      <c r="S1313" s="71"/>
    </row>
    <row r="1314" spans="1:19">
      <c r="A1314" s="74" t="s">
        <v>3446</v>
      </c>
      <c r="B1314" s="71" t="str">
        <f>IFERROR(VLOOKUP(Proc[[#This Row],[App]],Table2[],3,0),"open")</f>
        <v>open</v>
      </c>
      <c r="C1314" s="74" t="s">
        <v>370</v>
      </c>
      <c r="D1314" t="s">
        <v>3438</v>
      </c>
      <c r="E1314" s="74" t="s">
        <v>418</v>
      </c>
      <c r="F1314" s="71"/>
      <c r="G1314" s="74" t="s">
        <v>400</v>
      </c>
      <c r="H1314" s="71" t="str">
        <f>IF(Proc[[#This Row],[type]]="LFF (MDG-F)",MID(Proc[[#This Row],[Obj]],13,10),"")</f>
        <v/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2">
        <v>45789.598506944443</v>
      </c>
      <c r="N1314" s="82"/>
      <c r="O1314" s="82"/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1</v>
      </c>
      <c r="R1314" s="82" t="s">
        <v>508</v>
      </c>
      <c r="S1314" s="71"/>
    </row>
    <row r="1315" spans="1:19">
      <c r="A1315" s="74" t="s">
        <v>3446</v>
      </c>
      <c r="B1315" s="71" t="str">
        <f>IFERROR(VLOOKUP(Proc[[#This Row],[App]],Table2[],3,0),"open")</f>
        <v>open</v>
      </c>
      <c r="C1315" s="74" t="s">
        <v>370</v>
      </c>
      <c r="D1315" t="s">
        <v>3439</v>
      </c>
      <c r="E1315" s="74" t="s">
        <v>418</v>
      </c>
      <c r="F1315" s="71"/>
      <c r="G1315" s="74" t="s">
        <v>400</v>
      </c>
      <c r="H1315" s="71" t="str">
        <f>IF(Proc[[#This Row],[type]]="LFF (MDG-F)",MID(Proc[[#This Row],[Obj]],13,10),"")</f>
        <v/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2">
        <v>45789.598506944443</v>
      </c>
      <c r="N1315" s="82"/>
      <c r="O1315" s="82"/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1</v>
      </c>
      <c r="R1315" s="82" t="s">
        <v>508</v>
      </c>
      <c r="S1315" s="71"/>
    </row>
    <row r="1316" spans="1:19">
      <c r="A1316" s="74" t="s">
        <v>3446</v>
      </c>
      <c r="B1316" s="71" t="str">
        <f>IFERROR(VLOOKUP(Proc[[#This Row],[App]],Table2[],3,0),"open")</f>
        <v>open</v>
      </c>
      <c r="C1316" s="74" t="s">
        <v>370</v>
      </c>
      <c r="D1316" t="s">
        <v>3440</v>
      </c>
      <c r="E1316" s="74" t="s">
        <v>418</v>
      </c>
      <c r="F1316" s="71"/>
      <c r="G1316" s="74" t="s">
        <v>400</v>
      </c>
      <c r="H1316" s="71" t="str">
        <f>IF(Proc[[#This Row],[type]]="LFF (MDG-F)",MID(Proc[[#This Row],[Obj]],13,10),"")</f>
        <v/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2">
        <v>45789.598506944443</v>
      </c>
      <c r="N1316" s="82"/>
      <c r="O1316" s="82"/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1</v>
      </c>
      <c r="R1316" s="82" t="s">
        <v>508</v>
      </c>
      <c r="S1316" s="71"/>
    </row>
    <row r="1317" spans="1:19">
      <c r="A1317" s="74" t="s">
        <v>3446</v>
      </c>
      <c r="B1317" s="71" t="str">
        <f>IFERROR(VLOOKUP(Proc[[#This Row],[App]],Table2[],3,0),"open")</f>
        <v>open</v>
      </c>
      <c r="C1317" s="74" t="s">
        <v>370</v>
      </c>
      <c r="D1317" t="s">
        <v>3441</v>
      </c>
      <c r="E1317" s="74" t="s">
        <v>418</v>
      </c>
      <c r="F1317" s="71"/>
      <c r="G1317" s="74" t="s">
        <v>400</v>
      </c>
      <c r="H1317" s="71" t="str">
        <f>IF(Proc[[#This Row],[type]]="LFF (MDG-F)",MID(Proc[[#This Row],[Obj]],13,10),"")</f>
        <v/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2">
        <v>45789.598506944443</v>
      </c>
      <c r="N1317" s="82"/>
      <c r="O1317" s="82"/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1</v>
      </c>
      <c r="R1317" s="82" t="s">
        <v>508</v>
      </c>
      <c r="S1317" s="71"/>
    </row>
    <row r="1318" spans="1:19">
      <c r="A1318" s="74" t="s">
        <v>3446</v>
      </c>
      <c r="B1318" s="71" t="str">
        <f>IFERROR(VLOOKUP(Proc[[#This Row],[App]],Table2[],3,0),"open")</f>
        <v>open</v>
      </c>
      <c r="C1318" s="74" t="s">
        <v>370</v>
      </c>
      <c r="D1318" t="s">
        <v>3442</v>
      </c>
      <c r="E1318" s="74" t="s">
        <v>418</v>
      </c>
      <c r="F1318" s="71"/>
      <c r="G1318" s="74" t="s">
        <v>400</v>
      </c>
      <c r="H1318" s="71" t="str">
        <f>IF(Proc[[#This Row],[type]]="LFF (MDG-F)",MID(Proc[[#This Row],[Obj]],13,10),"")</f>
        <v/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2">
        <v>45789.598506944443</v>
      </c>
      <c r="N1318" s="82"/>
      <c r="O1318" s="82"/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1</v>
      </c>
      <c r="R1318" s="82" t="s">
        <v>508</v>
      </c>
      <c r="S1318" s="71"/>
    </row>
    <row r="1319" spans="1:19">
      <c r="A1319" s="74" t="s">
        <v>3446</v>
      </c>
      <c r="B1319" s="71" t="str">
        <f>IFERROR(VLOOKUP(Proc[[#This Row],[App]],Table2[],3,0),"open")</f>
        <v>open</v>
      </c>
      <c r="C1319" s="74" t="s">
        <v>370</v>
      </c>
      <c r="D1319" t="s">
        <v>3443</v>
      </c>
      <c r="E1319" s="74" t="s">
        <v>418</v>
      </c>
      <c r="F1319" s="71"/>
      <c r="G1319" s="74" t="s">
        <v>400</v>
      </c>
      <c r="H1319" s="71" t="str">
        <f>IF(Proc[[#This Row],[type]]="LFF (MDG-F)",MID(Proc[[#This Row],[Obj]],13,10),"")</f>
        <v/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2">
        <v>45789.598506944443</v>
      </c>
      <c r="N1319" s="82"/>
      <c r="O1319" s="82"/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1</v>
      </c>
      <c r="R1319" s="82" t="s">
        <v>508</v>
      </c>
      <c r="S1319" s="71"/>
    </row>
    <row r="1320" spans="1:19">
      <c r="A1320" s="74" t="s">
        <v>3446</v>
      </c>
      <c r="B1320" s="71" t="str">
        <f>IFERROR(VLOOKUP(Proc[[#This Row],[App]],Table2[],3,0),"open")</f>
        <v>open</v>
      </c>
      <c r="C1320" s="74" t="s">
        <v>370</v>
      </c>
      <c r="D1320" t="s">
        <v>3444</v>
      </c>
      <c r="E1320" s="74" t="s">
        <v>418</v>
      </c>
      <c r="F1320" s="71"/>
      <c r="G1320" s="74" t="s">
        <v>400</v>
      </c>
      <c r="H1320" s="71" t="str">
        <f>IF(Proc[[#This Row],[type]]="LFF (MDG-F)",MID(Proc[[#This Row],[Obj]],13,10),"")</f>
        <v/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2">
        <v>45789.598506944443</v>
      </c>
      <c r="N1320" s="82"/>
      <c r="O1320" s="82"/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1</v>
      </c>
      <c r="R1320" s="82" t="s">
        <v>508</v>
      </c>
      <c r="S1320" s="71"/>
    </row>
    <row r="1321" spans="1:19">
      <c r="A1321" s="74" t="s">
        <v>3446</v>
      </c>
      <c r="B1321" s="71" t="str">
        <f>IFERROR(VLOOKUP(Proc[[#This Row],[App]],Table2[],3,0),"open")</f>
        <v>open</v>
      </c>
      <c r="C1321" s="74" t="s">
        <v>370</v>
      </c>
      <c r="D1321" t="s">
        <v>3445</v>
      </c>
      <c r="E1321" s="74" t="s">
        <v>418</v>
      </c>
      <c r="F1321" s="71"/>
      <c r="G1321" s="74" t="s">
        <v>400</v>
      </c>
      <c r="H1321" s="71" t="str">
        <f>IF(Proc[[#This Row],[type]]="LFF (MDG-F)",MID(Proc[[#This Row],[Obj]],13,10),"")</f>
        <v/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2">
        <v>45789.598506944443</v>
      </c>
      <c r="N1321" s="82"/>
      <c r="O1321" s="82"/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1</v>
      </c>
      <c r="R1321" s="82" t="s">
        <v>508</v>
      </c>
      <c r="S1321" s="71"/>
    </row>
    <row r="1322" spans="1:19">
      <c r="A1322" t="s">
        <v>3483</v>
      </c>
      <c r="B1322" s="71" t="str">
        <f>IFERROR(VLOOKUP(Proc[[#This Row],[App]],Table2[],3,0),"open")</f>
        <v>open</v>
      </c>
      <c r="C1322" s="74" t="s">
        <v>377</v>
      </c>
      <c r="D1322" t="s">
        <v>3447</v>
      </c>
      <c r="E1322" t="s">
        <v>3511</v>
      </c>
      <c r="F1322" s="71"/>
      <c r="G1322" s="74" t="s">
        <v>400</v>
      </c>
      <c r="H1322" s="71" t="str">
        <f>IF(Proc[[#This Row],[type]]="LFF (MDG-F)",MID(Proc[[#This Row],[Obj]],13,10),"")</f>
        <v/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2">
        <v>45789.598506944443</v>
      </c>
      <c r="N1322" s="82"/>
      <c r="O1322" s="82"/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1</v>
      </c>
      <c r="R1322" s="82" t="s">
        <v>508</v>
      </c>
      <c r="S1322" s="71"/>
    </row>
    <row r="1323" spans="1:19">
      <c r="A1323" s="74" t="s">
        <v>3483</v>
      </c>
      <c r="B1323" s="71" t="str">
        <f>IFERROR(VLOOKUP(Proc[[#This Row],[App]],Table2[],3,0),"open")</f>
        <v>open</v>
      </c>
      <c r="C1323" s="74" t="s">
        <v>377</v>
      </c>
      <c r="D1323" t="s">
        <v>3448</v>
      </c>
      <c r="E1323" s="74" t="s">
        <v>3511</v>
      </c>
      <c r="F1323" s="71"/>
      <c r="G1323" s="74" t="s">
        <v>400</v>
      </c>
      <c r="H1323" s="71" t="str">
        <f>IF(Proc[[#This Row],[type]]="LFF (MDG-F)",MID(Proc[[#This Row],[Obj]],13,10),"")</f>
        <v/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2">
        <v>45789.598506944443</v>
      </c>
      <c r="N1323" s="82"/>
      <c r="O1323" s="82"/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1</v>
      </c>
      <c r="R1323" s="82" t="s">
        <v>508</v>
      </c>
      <c r="S1323" s="71"/>
    </row>
    <row r="1324" spans="1:19">
      <c r="A1324" s="74" t="s">
        <v>3483</v>
      </c>
      <c r="B1324" s="71" t="str">
        <f>IFERROR(VLOOKUP(Proc[[#This Row],[App]],Table2[],3,0),"open")</f>
        <v>open</v>
      </c>
      <c r="C1324" s="74" t="s">
        <v>377</v>
      </c>
      <c r="D1324" t="s">
        <v>3449</v>
      </c>
      <c r="E1324" s="74" t="s">
        <v>3511</v>
      </c>
      <c r="F1324" s="71"/>
      <c r="G1324" s="74" t="s">
        <v>400</v>
      </c>
      <c r="H1324" s="71" t="str">
        <f>IF(Proc[[#This Row],[type]]="LFF (MDG-F)",MID(Proc[[#This Row],[Obj]],13,10),"")</f>
        <v/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2">
        <v>45789.598506944443</v>
      </c>
      <c r="N1324" s="82"/>
      <c r="O1324" s="82"/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1</v>
      </c>
      <c r="R1324" s="82" t="s">
        <v>508</v>
      </c>
      <c r="S1324" s="71"/>
    </row>
    <row r="1325" spans="1:19">
      <c r="A1325" s="74" t="s">
        <v>3483</v>
      </c>
      <c r="B1325" s="71" t="str">
        <f>IFERROR(VLOOKUP(Proc[[#This Row],[App]],Table2[],3,0),"open")</f>
        <v>open</v>
      </c>
      <c r="C1325" s="74" t="s">
        <v>377</v>
      </c>
      <c r="D1325" t="s">
        <v>3450</v>
      </c>
      <c r="E1325" s="74" t="s">
        <v>3511</v>
      </c>
      <c r="F1325" s="71"/>
      <c r="G1325" s="74" t="s">
        <v>400</v>
      </c>
      <c r="H1325" s="71" t="str">
        <f>IF(Proc[[#This Row],[type]]="LFF (MDG-F)",MID(Proc[[#This Row],[Obj]],13,10),"")</f>
        <v/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2">
        <v>45789.598506944443</v>
      </c>
      <c r="N1325" s="82"/>
      <c r="O1325" s="82"/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1</v>
      </c>
      <c r="R1325" s="82" t="s">
        <v>508</v>
      </c>
      <c r="S1325" s="71"/>
    </row>
    <row r="1326" spans="1:19">
      <c r="A1326" s="74" t="s">
        <v>3483</v>
      </c>
      <c r="B1326" s="71" t="str">
        <f>IFERROR(VLOOKUP(Proc[[#This Row],[App]],Table2[],3,0),"open")</f>
        <v>open</v>
      </c>
      <c r="C1326" s="74" t="s">
        <v>377</v>
      </c>
      <c r="D1326" t="s">
        <v>3451</v>
      </c>
      <c r="E1326" s="74" t="s">
        <v>3511</v>
      </c>
      <c r="F1326" s="71"/>
      <c r="G1326" s="74" t="s">
        <v>400</v>
      </c>
      <c r="H1326" s="71" t="str">
        <f>IF(Proc[[#This Row],[type]]="LFF (MDG-F)",MID(Proc[[#This Row],[Obj]],13,10),"")</f>
        <v/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2">
        <v>45789.598506944443</v>
      </c>
      <c r="N1326" s="82"/>
      <c r="O1326" s="82"/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1</v>
      </c>
      <c r="R1326" s="82" t="s">
        <v>508</v>
      </c>
      <c r="S1326" s="71"/>
    </row>
    <row r="1327" spans="1:19">
      <c r="A1327" s="74" t="s">
        <v>3483</v>
      </c>
      <c r="B1327" s="71" t="str">
        <f>IFERROR(VLOOKUP(Proc[[#This Row],[App]],Table2[],3,0),"open")</f>
        <v>open</v>
      </c>
      <c r="C1327" s="74" t="s">
        <v>377</v>
      </c>
      <c r="D1327" t="s">
        <v>3452</v>
      </c>
      <c r="E1327" s="74" t="s">
        <v>3511</v>
      </c>
      <c r="F1327" s="71"/>
      <c r="G1327" s="74" t="s">
        <v>400</v>
      </c>
      <c r="H1327" s="71" t="str">
        <f>IF(Proc[[#This Row],[type]]="LFF (MDG-F)",MID(Proc[[#This Row],[Obj]],13,10),"")</f>
        <v/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2">
        <v>45789.598506944443</v>
      </c>
      <c r="N1327" s="82"/>
      <c r="O1327" s="82"/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1</v>
      </c>
      <c r="R1327" s="82" t="s">
        <v>508</v>
      </c>
      <c r="S1327" s="71"/>
    </row>
    <row r="1328" spans="1:19">
      <c r="A1328" s="74" t="s">
        <v>3483</v>
      </c>
      <c r="B1328" s="71" t="str">
        <f>IFERROR(VLOOKUP(Proc[[#This Row],[App]],Table2[],3,0),"open")</f>
        <v>open</v>
      </c>
      <c r="C1328" s="74" t="s">
        <v>377</v>
      </c>
      <c r="D1328" t="s">
        <v>3453</v>
      </c>
      <c r="E1328" s="74" t="s">
        <v>3511</v>
      </c>
      <c r="F1328" s="71"/>
      <c r="G1328" s="74" t="s">
        <v>400</v>
      </c>
      <c r="H1328" s="71" t="str">
        <f>IF(Proc[[#This Row],[type]]="LFF (MDG-F)",MID(Proc[[#This Row],[Obj]],13,10),"")</f>
        <v/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2">
        <v>45789.598506944443</v>
      </c>
      <c r="N1328" s="82"/>
      <c r="O1328" s="82"/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1</v>
      </c>
      <c r="R1328" s="82" t="s">
        <v>508</v>
      </c>
      <c r="S1328" s="71"/>
    </row>
    <row r="1329" spans="1:19">
      <c r="A1329" s="74" t="s">
        <v>3483</v>
      </c>
      <c r="B1329" s="71" t="str">
        <f>IFERROR(VLOOKUP(Proc[[#This Row],[App]],Table2[],3,0),"open")</f>
        <v>open</v>
      </c>
      <c r="C1329" s="74" t="s">
        <v>377</v>
      </c>
      <c r="D1329" t="s">
        <v>3454</v>
      </c>
      <c r="E1329" s="74" t="s">
        <v>3511</v>
      </c>
      <c r="F1329" s="71"/>
      <c r="G1329" s="74" t="s">
        <v>400</v>
      </c>
      <c r="H1329" s="71" t="str">
        <f>IF(Proc[[#This Row],[type]]="LFF (MDG-F)",MID(Proc[[#This Row],[Obj]],13,10),"")</f>
        <v/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2">
        <v>45789.598506944443</v>
      </c>
      <c r="N1329" s="82"/>
      <c r="O1329" s="82"/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1</v>
      </c>
      <c r="R1329" s="82" t="s">
        <v>508</v>
      </c>
      <c r="S1329" s="71"/>
    </row>
    <row r="1330" spans="1:19">
      <c r="A1330" s="74" t="s">
        <v>3483</v>
      </c>
      <c r="B1330" s="71" t="str">
        <f>IFERROR(VLOOKUP(Proc[[#This Row],[App]],Table2[],3,0),"open")</f>
        <v>open</v>
      </c>
      <c r="C1330" s="74" t="s">
        <v>377</v>
      </c>
      <c r="D1330" t="s">
        <v>3455</v>
      </c>
      <c r="E1330" s="74" t="s">
        <v>3511</v>
      </c>
      <c r="F1330" s="71"/>
      <c r="G1330" s="74" t="s">
        <v>400</v>
      </c>
      <c r="H1330" s="71" t="str">
        <f>IF(Proc[[#This Row],[type]]="LFF (MDG-F)",MID(Proc[[#This Row],[Obj]],13,10),"")</f>
        <v/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2">
        <v>45789.598506944443</v>
      </c>
      <c r="N1330" s="82"/>
      <c r="O1330" s="82"/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1</v>
      </c>
      <c r="R1330" s="82" t="s">
        <v>508</v>
      </c>
      <c r="S1330" s="71"/>
    </row>
    <row r="1331" spans="1:19">
      <c r="A1331" s="74" t="s">
        <v>3483</v>
      </c>
      <c r="B1331" s="71" t="str">
        <f>IFERROR(VLOOKUP(Proc[[#This Row],[App]],Table2[],3,0),"open")</f>
        <v>open</v>
      </c>
      <c r="C1331" s="74" t="s">
        <v>377</v>
      </c>
      <c r="D1331" t="s">
        <v>3456</v>
      </c>
      <c r="E1331" s="74" t="s">
        <v>3511</v>
      </c>
      <c r="F1331" s="71"/>
      <c r="G1331" s="74" t="s">
        <v>400</v>
      </c>
      <c r="H1331" s="71" t="str">
        <f>IF(Proc[[#This Row],[type]]="LFF (MDG-F)",MID(Proc[[#This Row],[Obj]],13,10),"")</f>
        <v/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2">
        <v>45789.598506944443</v>
      </c>
      <c r="N1331" s="82"/>
      <c r="O1331" s="82"/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1</v>
      </c>
      <c r="R1331" s="82" t="s">
        <v>508</v>
      </c>
      <c r="S1331" s="71"/>
    </row>
    <row r="1332" spans="1:19">
      <c r="A1332" s="74" t="s">
        <v>3483</v>
      </c>
      <c r="B1332" s="71" t="str">
        <f>IFERROR(VLOOKUP(Proc[[#This Row],[App]],Table2[],3,0),"open")</f>
        <v>open</v>
      </c>
      <c r="C1332" s="74" t="s">
        <v>377</v>
      </c>
      <c r="D1332" t="s">
        <v>3457</v>
      </c>
      <c r="E1332" s="74" t="s">
        <v>3511</v>
      </c>
      <c r="F1332" s="71"/>
      <c r="G1332" s="74" t="s">
        <v>400</v>
      </c>
      <c r="H1332" s="71" t="str">
        <f>IF(Proc[[#This Row],[type]]="LFF (MDG-F)",MID(Proc[[#This Row],[Obj]],13,10),"")</f>
        <v/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2">
        <v>45789.598506944443</v>
      </c>
      <c r="N1332" s="82"/>
      <c r="O1332" s="82"/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1</v>
      </c>
      <c r="R1332" s="82" t="s">
        <v>508</v>
      </c>
      <c r="S1332" s="71"/>
    </row>
    <row r="1333" spans="1:19">
      <c r="A1333" s="74" t="s">
        <v>3483</v>
      </c>
      <c r="B1333" s="71" t="str">
        <f>IFERROR(VLOOKUP(Proc[[#This Row],[App]],Table2[],3,0),"open")</f>
        <v>open</v>
      </c>
      <c r="C1333" s="74" t="s">
        <v>377</v>
      </c>
      <c r="D1333" t="s">
        <v>3458</v>
      </c>
      <c r="E1333" s="74" t="s">
        <v>3511</v>
      </c>
      <c r="F1333" s="71"/>
      <c r="G1333" s="74" t="s">
        <v>400</v>
      </c>
      <c r="H1333" s="71" t="str">
        <f>IF(Proc[[#This Row],[type]]="LFF (MDG-F)",MID(Proc[[#This Row],[Obj]],13,10),"")</f>
        <v/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2">
        <v>45789.598506944443</v>
      </c>
      <c r="N1333" s="82"/>
      <c r="O1333" s="82"/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1</v>
      </c>
      <c r="R1333" s="82" t="s">
        <v>508</v>
      </c>
      <c r="S1333" s="71"/>
    </row>
    <row r="1334" spans="1:19">
      <c r="A1334" s="74" t="s">
        <v>3483</v>
      </c>
      <c r="B1334" s="71" t="str">
        <f>IFERROR(VLOOKUP(Proc[[#This Row],[App]],Table2[],3,0),"open")</f>
        <v>open</v>
      </c>
      <c r="C1334" s="74" t="s">
        <v>377</v>
      </c>
      <c r="D1334" t="s">
        <v>3459</v>
      </c>
      <c r="E1334" s="74" t="s">
        <v>3511</v>
      </c>
      <c r="F1334" s="71"/>
      <c r="G1334" s="74" t="s">
        <v>400</v>
      </c>
      <c r="H1334" s="71" t="str">
        <f>IF(Proc[[#This Row],[type]]="LFF (MDG-F)",MID(Proc[[#This Row],[Obj]],13,10),"")</f>
        <v/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2">
        <v>45789.598506944443</v>
      </c>
      <c r="N1334" s="82"/>
      <c r="O1334" s="82"/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1</v>
      </c>
      <c r="R1334" s="82" t="s">
        <v>508</v>
      </c>
      <c r="S1334" s="71"/>
    </row>
    <row r="1335" spans="1:19">
      <c r="A1335" s="74" t="s">
        <v>3483</v>
      </c>
      <c r="B1335" s="71" t="str">
        <f>IFERROR(VLOOKUP(Proc[[#This Row],[App]],Table2[],3,0),"open")</f>
        <v>open</v>
      </c>
      <c r="C1335" s="74" t="s">
        <v>377</v>
      </c>
      <c r="D1335" t="s">
        <v>3460</v>
      </c>
      <c r="E1335" s="74" t="s">
        <v>3511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2">
        <v>45789.598506944443</v>
      </c>
      <c r="N1335" s="82"/>
      <c r="O1335" s="82"/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>
      <c r="A1336" s="74" t="s">
        <v>3483</v>
      </c>
      <c r="B1336" s="71" t="str">
        <f>IFERROR(VLOOKUP(Proc[[#This Row],[App]],Table2[],3,0),"open")</f>
        <v>open</v>
      </c>
      <c r="C1336" s="74" t="s">
        <v>377</v>
      </c>
      <c r="D1336" t="s">
        <v>3461</v>
      </c>
      <c r="E1336" s="74" t="s">
        <v>3511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2">
        <v>45789.598506944443</v>
      </c>
      <c r="N1336" s="82"/>
      <c r="O1336" s="82"/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>
      <c r="A1337" s="74" t="s">
        <v>3483</v>
      </c>
      <c r="B1337" s="71" t="str">
        <f>IFERROR(VLOOKUP(Proc[[#This Row],[App]],Table2[],3,0),"open")</f>
        <v>open</v>
      </c>
      <c r="C1337" s="74" t="s">
        <v>377</v>
      </c>
      <c r="D1337" t="s">
        <v>3462</v>
      </c>
      <c r="E1337" s="74" t="s">
        <v>3511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2">
        <v>45789.598506944443</v>
      </c>
      <c r="N1337" s="82"/>
      <c r="O1337" s="82"/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>
      <c r="A1338" s="74" t="s">
        <v>3483</v>
      </c>
      <c r="B1338" s="71" t="str">
        <f>IFERROR(VLOOKUP(Proc[[#This Row],[App]],Table2[],3,0),"open")</f>
        <v>open</v>
      </c>
      <c r="C1338" s="74" t="s">
        <v>377</v>
      </c>
      <c r="D1338" t="s">
        <v>3463</v>
      </c>
      <c r="E1338" s="74" t="s">
        <v>3511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2">
        <v>45789.598506944443</v>
      </c>
      <c r="N1338" s="82"/>
      <c r="O1338" s="82"/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>
      <c r="A1339" s="74" t="s">
        <v>3483</v>
      </c>
      <c r="B1339" s="71" t="str">
        <f>IFERROR(VLOOKUP(Proc[[#This Row],[App]],Table2[],3,0),"open")</f>
        <v>open</v>
      </c>
      <c r="C1339" s="74" t="s">
        <v>377</v>
      </c>
      <c r="D1339" t="s">
        <v>3464</v>
      </c>
      <c r="E1339" s="74" t="s">
        <v>3511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2">
        <v>45789.598506944443</v>
      </c>
      <c r="N1339" s="82"/>
      <c r="O1339" s="82"/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>
      <c r="A1340" s="74" t="s">
        <v>3483</v>
      </c>
      <c r="B1340" s="71" t="str">
        <f>IFERROR(VLOOKUP(Proc[[#This Row],[App]],Table2[],3,0),"open")</f>
        <v>open</v>
      </c>
      <c r="C1340" s="74" t="s">
        <v>377</v>
      </c>
      <c r="D1340" t="s">
        <v>3465</v>
      </c>
      <c r="E1340" s="74" t="s">
        <v>3511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2">
        <v>45789.598506944443</v>
      </c>
      <c r="N1340" s="82"/>
      <c r="O1340" s="82"/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>
      <c r="A1341" s="74" t="s">
        <v>3483</v>
      </c>
      <c r="B1341" s="71" t="str">
        <f>IFERROR(VLOOKUP(Proc[[#This Row],[App]],Table2[],3,0),"open")</f>
        <v>open</v>
      </c>
      <c r="C1341" s="74" t="s">
        <v>377</v>
      </c>
      <c r="D1341" t="s">
        <v>3466</v>
      </c>
      <c r="E1341" s="74" t="s">
        <v>3511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2">
        <v>45789.598506944443</v>
      </c>
      <c r="N1341" s="82"/>
      <c r="O1341" s="82"/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>
      <c r="A1342" s="74" t="s">
        <v>3483</v>
      </c>
      <c r="B1342" s="71" t="str">
        <f>IFERROR(VLOOKUP(Proc[[#This Row],[App]],Table2[],3,0),"open")</f>
        <v>open</v>
      </c>
      <c r="C1342" s="74" t="s">
        <v>377</v>
      </c>
      <c r="D1342" t="s">
        <v>3467</v>
      </c>
      <c r="E1342" s="74" t="s">
        <v>3511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2">
        <v>45789.598506944443</v>
      </c>
      <c r="N1342" s="82"/>
      <c r="O1342" s="82"/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>
      <c r="A1343" s="74" t="s">
        <v>3483</v>
      </c>
      <c r="B1343" s="71" t="str">
        <f>IFERROR(VLOOKUP(Proc[[#This Row],[App]],Table2[],3,0),"open")</f>
        <v>open</v>
      </c>
      <c r="C1343" s="74" t="s">
        <v>377</v>
      </c>
      <c r="D1343" t="s">
        <v>3468</v>
      </c>
      <c r="E1343" s="74" t="s">
        <v>3511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2">
        <v>45789.598506944443</v>
      </c>
      <c r="N1343" s="82"/>
      <c r="O1343" s="82"/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>
      <c r="A1344" s="74" t="s">
        <v>3483</v>
      </c>
      <c r="B1344" s="71" t="str">
        <f>IFERROR(VLOOKUP(Proc[[#This Row],[App]],Table2[],3,0),"open")</f>
        <v>open</v>
      </c>
      <c r="C1344" s="74" t="s">
        <v>377</v>
      </c>
      <c r="D1344" t="s">
        <v>3469</v>
      </c>
      <c r="E1344" s="74" t="s">
        <v>3511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2">
        <v>45789.598506944443</v>
      </c>
      <c r="N1344" s="82"/>
      <c r="O1344" s="82"/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>
      <c r="A1345" s="74" t="s">
        <v>3483</v>
      </c>
      <c r="B1345" s="71" t="str">
        <f>IFERROR(VLOOKUP(Proc[[#This Row],[App]],Table2[],3,0),"open")</f>
        <v>open</v>
      </c>
      <c r="C1345" s="74" t="s">
        <v>377</v>
      </c>
      <c r="D1345" t="s">
        <v>3470</v>
      </c>
      <c r="E1345" s="74" t="s">
        <v>3511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2">
        <v>45789.598506944443</v>
      </c>
      <c r="N1345" s="82"/>
      <c r="O1345" s="82"/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>
      <c r="A1346" s="74" t="s">
        <v>3483</v>
      </c>
      <c r="B1346" s="71" t="str">
        <f>IFERROR(VLOOKUP(Proc[[#This Row],[App]],Table2[],3,0),"open")</f>
        <v>open</v>
      </c>
      <c r="C1346" s="74" t="s">
        <v>377</v>
      </c>
      <c r="D1346" t="s">
        <v>3471</v>
      </c>
      <c r="E1346" s="74" t="s">
        <v>3511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2">
        <v>45789.598506944443</v>
      </c>
      <c r="N1346" s="82"/>
      <c r="O1346" s="82"/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>
      <c r="A1347" s="74" t="s">
        <v>3483</v>
      </c>
      <c r="B1347" s="71" t="str">
        <f>IFERROR(VLOOKUP(Proc[[#This Row],[App]],Table2[],3,0),"open")</f>
        <v>open</v>
      </c>
      <c r="C1347" s="74" t="s">
        <v>377</v>
      </c>
      <c r="D1347" t="s">
        <v>3472</v>
      </c>
      <c r="E1347" s="74" t="s">
        <v>3511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2">
        <v>45789.598506944443</v>
      </c>
      <c r="N1347" s="82"/>
      <c r="O1347" s="82"/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>
      <c r="A1348" s="74" t="s">
        <v>3483</v>
      </c>
      <c r="B1348" s="71" t="str">
        <f>IFERROR(VLOOKUP(Proc[[#This Row],[App]],Table2[],3,0),"open")</f>
        <v>open</v>
      </c>
      <c r="C1348" s="74" t="s">
        <v>377</v>
      </c>
      <c r="D1348" t="s">
        <v>3473</v>
      </c>
      <c r="E1348" s="74" t="s">
        <v>3511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2">
        <v>45789.598506944443</v>
      </c>
      <c r="N1348" s="82"/>
      <c r="O1348" s="82"/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>
      <c r="A1349" s="74" t="s">
        <v>3483</v>
      </c>
      <c r="B1349" s="71" t="str">
        <f>IFERROR(VLOOKUP(Proc[[#This Row],[App]],Table2[],3,0),"open")</f>
        <v>open</v>
      </c>
      <c r="C1349" s="74" t="s">
        <v>377</v>
      </c>
      <c r="D1349" t="s">
        <v>3474</v>
      </c>
      <c r="E1349" s="74" t="s">
        <v>3511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2">
        <v>45789.598506944443</v>
      </c>
      <c r="N1349" s="82"/>
      <c r="O1349" s="82"/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>
      <c r="A1350" s="74" t="s">
        <v>3483</v>
      </c>
      <c r="B1350" s="71" t="str">
        <f>IFERROR(VLOOKUP(Proc[[#This Row],[App]],Table2[],3,0),"open")</f>
        <v>open</v>
      </c>
      <c r="C1350" s="74" t="s">
        <v>377</v>
      </c>
      <c r="D1350" t="s">
        <v>3475</v>
      </c>
      <c r="E1350" s="74" t="s">
        <v>3511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2">
        <v>45789.598506944443</v>
      </c>
      <c r="N1350" s="82"/>
      <c r="O1350" s="82"/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>
      <c r="A1351" s="74" t="s">
        <v>3483</v>
      </c>
      <c r="B1351" s="71" t="str">
        <f>IFERROR(VLOOKUP(Proc[[#This Row],[App]],Table2[],3,0),"open")</f>
        <v>open</v>
      </c>
      <c r="C1351" s="74" t="s">
        <v>377</v>
      </c>
      <c r="D1351" t="s">
        <v>3476</v>
      </c>
      <c r="E1351" s="74" t="s">
        <v>3511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2">
        <v>45789.598506944443</v>
      </c>
      <c r="N1351" s="82"/>
      <c r="O1351" s="82"/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>
      <c r="A1352" s="74" t="s">
        <v>3483</v>
      </c>
      <c r="B1352" s="71" t="str">
        <f>IFERROR(VLOOKUP(Proc[[#This Row],[App]],Table2[],3,0),"open")</f>
        <v>open</v>
      </c>
      <c r="C1352" s="74" t="s">
        <v>377</v>
      </c>
      <c r="D1352" t="s">
        <v>3477</v>
      </c>
      <c r="E1352" s="74" t="s">
        <v>3511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2">
        <v>45789.598506944443</v>
      </c>
      <c r="N1352" s="82"/>
      <c r="O1352" s="82"/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1</v>
      </c>
      <c r="R1352" s="82" t="s">
        <v>508</v>
      </c>
      <c r="S1352" s="71"/>
    </row>
    <row r="1353" spans="1:19">
      <c r="A1353" s="74" t="s">
        <v>3483</v>
      </c>
      <c r="B1353" s="71" t="str">
        <f>IFERROR(VLOOKUP(Proc[[#This Row],[App]],Table2[],3,0),"open")</f>
        <v>open</v>
      </c>
      <c r="C1353" s="74" t="s">
        <v>377</v>
      </c>
      <c r="D1353" t="s">
        <v>3478</v>
      </c>
      <c r="E1353" s="74" t="s">
        <v>3511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2">
        <v>45789.598506944443</v>
      </c>
      <c r="N1353" s="82"/>
      <c r="O1353" s="82"/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>
      <c r="A1354" s="74" t="s">
        <v>3483</v>
      </c>
      <c r="B1354" s="71" t="str">
        <f>IFERROR(VLOOKUP(Proc[[#This Row],[App]],Table2[],3,0),"open")</f>
        <v>open</v>
      </c>
      <c r="C1354" s="74" t="s">
        <v>377</v>
      </c>
      <c r="D1354" t="s">
        <v>3479</v>
      </c>
      <c r="E1354" s="74" t="s">
        <v>3511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2">
        <v>45789.598506944443</v>
      </c>
      <c r="N1354" s="82"/>
      <c r="O1354" s="82"/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>
      <c r="A1355" s="74" t="s">
        <v>3483</v>
      </c>
      <c r="B1355" s="71" t="str">
        <f>IFERROR(VLOOKUP(Proc[[#This Row],[App]],Table2[],3,0),"open")</f>
        <v>open</v>
      </c>
      <c r="C1355" s="74" t="s">
        <v>377</v>
      </c>
      <c r="D1355" t="s">
        <v>3480</v>
      </c>
      <c r="E1355" s="74" t="s">
        <v>3511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2">
        <v>45789.598506944443</v>
      </c>
      <c r="N1355" s="82"/>
      <c r="O1355" s="82"/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>
      <c r="A1356" s="74" t="s">
        <v>3483</v>
      </c>
      <c r="B1356" s="71" t="str">
        <f>IFERROR(VLOOKUP(Proc[[#This Row],[App]],Table2[],3,0),"open")</f>
        <v>open</v>
      </c>
      <c r="C1356" s="74" t="s">
        <v>377</v>
      </c>
      <c r="D1356" t="s">
        <v>3481</v>
      </c>
      <c r="E1356" s="74" t="s">
        <v>3511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2">
        <v>45789.598506944443</v>
      </c>
      <c r="N1356" s="82"/>
      <c r="O1356" s="82"/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>
      <c r="A1357" s="74" t="s">
        <v>3483</v>
      </c>
      <c r="B1357" s="71" t="str">
        <f>IFERROR(VLOOKUP(Proc[[#This Row],[App]],Table2[],3,0),"open")</f>
        <v>open</v>
      </c>
      <c r="C1357" s="74" t="s">
        <v>377</v>
      </c>
      <c r="D1357" t="s">
        <v>3482</v>
      </c>
      <c r="E1357" s="74" t="s">
        <v>3511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2">
        <v>45789.598506944443</v>
      </c>
      <c r="N1357" s="82"/>
      <c r="O1357" s="82"/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t="s">
        <v>3507</v>
      </c>
      <c r="B1358" s="71" t="str">
        <f>IFERROR(VLOOKUP(Proc[[#This Row],[App]],Table2[],3,0),"open")</f>
        <v>open</v>
      </c>
      <c r="C1358" s="74" t="s">
        <v>404</v>
      </c>
      <c r="D1358" t="s">
        <v>3484</v>
      </c>
      <c r="E1358" t="s">
        <v>3508</v>
      </c>
      <c r="F1358" s="71"/>
      <c r="G1358" s="74" t="s">
        <v>406</v>
      </c>
      <c r="H1358" s="71" t="str">
        <f>IF(Proc[[#This Row],[type]]="LFF (MDG-F)",MID(Proc[[#This Row],[Obj]],13,10),"")</f>
        <v>DE04G0IT99</v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MGF</v>
      </c>
      <c r="L1358" s="71" t="s">
        <v>2841</v>
      </c>
      <c r="M1358" s="82">
        <v>45789.598506944443</v>
      </c>
      <c r="N1358" s="82"/>
      <c r="O1358" s="82"/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1112</v>
      </c>
      <c r="S1358" s="71"/>
    </row>
    <row r="1359" spans="1:19" hidden="1">
      <c r="A1359" s="74" t="s">
        <v>3507</v>
      </c>
      <c r="B1359" s="71" t="str">
        <f>IFERROR(VLOOKUP(Proc[[#This Row],[App]],Table2[],3,0),"open")</f>
        <v>open</v>
      </c>
      <c r="C1359" s="74" t="s">
        <v>404</v>
      </c>
      <c r="D1359" t="s">
        <v>3485</v>
      </c>
      <c r="E1359" t="s">
        <v>3508</v>
      </c>
      <c r="F1359" s="71"/>
      <c r="G1359" s="74" t="s">
        <v>406</v>
      </c>
      <c r="H1359" s="71" t="str">
        <f>IF(Proc[[#This Row],[type]]="LFF (MDG-F)",MID(Proc[[#This Row],[Obj]],13,10),"")</f>
        <v>DE04O01001</v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MGF</v>
      </c>
      <c r="L1359" s="71" t="s">
        <v>2841</v>
      </c>
      <c r="M1359" s="82">
        <v>45789.598506944443</v>
      </c>
      <c r="N1359" s="82"/>
      <c r="O1359" s="82"/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1112</v>
      </c>
      <c r="S1359" s="71"/>
    </row>
    <row r="1360" spans="1:19" hidden="1">
      <c r="A1360" s="74" t="s">
        <v>3507</v>
      </c>
      <c r="B1360" s="71" t="str">
        <f>IFERROR(VLOOKUP(Proc[[#This Row],[App]],Table2[],3,0),"open")</f>
        <v>open</v>
      </c>
      <c r="C1360" s="74" t="s">
        <v>404</v>
      </c>
      <c r="D1360" t="s">
        <v>3486</v>
      </c>
      <c r="E1360" t="s">
        <v>3508</v>
      </c>
      <c r="F1360" s="71"/>
      <c r="G1360" s="74" t="s">
        <v>406</v>
      </c>
      <c r="H1360" s="71" t="str">
        <f>IF(Proc[[#This Row],[type]]="LFF (MDG-F)",MID(Proc[[#This Row],[Obj]],13,10),"")</f>
        <v>DE04O01002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MGF</v>
      </c>
      <c r="L1360" s="71" t="s">
        <v>2841</v>
      </c>
      <c r="M1360" s="82">
        <v>45789.598506944443</v>
      </c>
      <c r="N1360" s="82"/>
      <c r="O1360" s="82"/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1112</v>
      </c>
      <c r="S1360" s="71"/>
    </row>
    <row r="1361" spans="1:19" hidden="1">
      <c r="A1361" s="74" t="s">
        <v>3507</v>
      </c>
      <c r="B1361" s="71" t="str">
        <f>IFERROR(VLOOKUP(Proc[[#This Row],[App]],Table2[],3,0),"open")</f>
        <v>open</v>
      </c>
      <c r="C1361" s="74" t="s">
        <v>404</v>
      </c>
      <c r="D1361" t="s">
        <v>3487</v>
      </c>
      <c r="E1361" t="s">
        <v>3509</v>
      </c>
      <c r="F1361" s="71"/>
      <c r="G1361" s="74" t="s">
        <v>406</v>
      </c>
      <c r="H1361" s="71" t="str">
        <f>IF(Proc[[#This Row],[type]]="LFF (MDG-F)",MID(Proc[[#This Row],[Obj]],13,10),"")</f>
        <v>DE04Z03110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MGF</v>
      </c>
      <c r="L1361" s="71" t="s">
        <v>2841</v>
      </c>
      <c r="M1361" s="82">
        <v>45789.598506944443</v>
      </c>
      <c r="N1361" s="82"/>
      <c r="O1361" s="82"/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1112</v>
      </c>
      <c r="S1361" s="71"/>
    </row>
    <row r="1362" spans="1:19">
      <c r="A1362" s="74" t="s">
        <v>3507</v>
      </c>
      <c r="B1362" s="71" t="str">
        <f>IFERROR(VLOOKUP(Proc[[#This Row],[App]],Table2[],3,0),"open")</f>
        <v>open</v>
      </c>
      <c r="C1362" s="74" t="s">
        <v>370</v>
      </c>
      <c r="D1362" t="s">
        <v>3488</v>
      </c>
      <c r="E1362" t="s">
        <v>3512</v>
      </c>
      <c r="F1362" s="71"/>
      <c r="G1362" t="s">
        <v>400</v>
      </c>
      <c r="H1362" s="71" t="str">
        <f>IF(Proc[[#This Row],[type]]="LFF (MDG-F)",MID(Proc[[#This Row],[Obj]],13,10),"")</f>
        <v/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MGF</v>
      </c>
      <c r="L1362" s="71" t="s">
        <v>2841</v>
      </c>
      <c r="M1362" s="82">
        <v>45789.598506944443</v>
      </c>
      <c r="N1362" s="82"/>
      <c r="O1362" s="82"/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1112</v>
      </c>
      <c r="S1362" s="71"/>
    </row>
    <row r="1363" spans="1:19">
      <c r="A1363" s="74" t="s">
        <v>3507</v>
      </c>
      <c r="B1363" s="71" t="str">
        <f>IFERROR(VLOOKUP(Proc[[#This Row],[App]],Table2[],3,0),"open")</f>
        <v>open</v>
      </c>
      <c r="C1363" s="74" t="s">
        <v>370</v>
      </c>
      <c r="D1363" t="s">
        <v>3489</v>
      </c>
      <c r="E1363" s="74" t="s">
        <v>3512</v>
      </c>
      <c r="F1363" s="71"/>
      <c r="G1363" s="74" t="s">
        <v>400</v>
      </c>
      <c r="H1363" s="71" t="str">
        <f>IF(Proc[[#This Row],[type]]="LFF (MDG-F)",MID(Proc[[#This Row],[Obj]],13,10),"")</f>
        <v/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MGF</v>
      </c>
      <c r="L1363" s="71" t="s">
        <v>2841</v>
      </c>
      <c r="M1363" s="82">
        <v>45789.598506944443</v>
      </c>
      <c r="N1363" s="82"/>
      <c r="O1363" s="82"/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1112</v>
      </c>
      <c r="S1363" s="71"/>
    </row>
    <row r="1364" spans="1:19" hidden="1">
      <c r="A1364" s="74" t="s">
        <v>3507</v>
      </c>
      <c r="B1364" s="71" t="str">
        <f>IFERROR(VLOOKUP(Proc[[#This Row],[App]],Table2[],3,0),"open")</f>
        <v>open</v>
      </c>
      <c r="C1364" s="74" t="s">
        <v>404</v>
      </c>
      <c r="D1364" t="s">
        <v>3490</v>
      </c>
      <c r="E1364" t="s">
        <v>3510</v>
      </c>
      <c r="F1364" s="71"/>
      <c r="G1364" s="74" t="s">
        <v>406</v>
      </c>
      <c r="H1364" s="71" t="str">
        <f>IF(Proc[[#This Row],[type]]="LFF (MDG-F)",MID(Proc[[#This Row],[Obj]],13,10),"")</f>
        <v>CN01Z03105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MGF</v>
      </c>
      <c r="L1364" s="71" t="s">
        <v>2841</v>
      </c>
      <c r="M1364" s="82">
        <v>45789.598506944443</v>
      </c>
      <c r="N1364" s="82"/>
      <c r="O1364" s="82"/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1112</v>
      </c>
      <c r="S1364" s="71"/>
    </row>
    <row r="1365" spans="1:19" hidden="1">
      <c r="A1365" s="74" t="s">
        <v>3507</v>
      </c>
      <c r="B1365" s="71" t="str">
        <f>IFERROR(VLOOKUP(Proc[[#This Row],[App]],Table2[],3,0),"open")</f>
        <v>open</v>
      </c>
      <c r="C1365" s="74" t="s">
        <v>404</v>
      </c>
      <c r="D1365" t="s">
        <v>3491</v>
      </c>
      <c r="E1365" t="s">
        <v>3510</v>
      </c>
      <c r="F1365" s="71"/>
      <c r="G1365" s="74" t="s">
        <v>406</v>
      </c>
      <c r="H1365" s="71" t="str">
        <f>IF(Proc[[#This Row],[type]]="LFF (MDG-F)",MID(Proc[[#This Row],[Obj]],13,10),"")</f>
        <v>DE04Z03108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MGF</v>
      </c>
      <c r="L1365" s="71" t="s">
        <v>2841</v>
      </c>
      <c r="M1365" s="82">
        <v>45789.598506944443</v>
      </c>
      <c r="N1365" s="82"/>
      <c r="O1365" s="82"/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1112</v>
      </c>
      <c r="S1365" s="71"/>
    </row>
    <row r="1366" spans="1:19" hidden="1">
      <c r="A1366" s="74" t="s">
        <v>3507</v>
      </c>
      <c r="B1366" s="71" t="str">
        <f>IFERROR(VLOOKUP(Proc[[#This Row],[App]],Table2[],3,0),"open")</f>
        <v>open</v>
      </c>
      <c r="C1366" s="74" t="s">
        <v>404</v>
      </c>
      <c r="D1366" t="s">
        <v>3492</v>
      </c>
      <c r="E1366" t="s">
        <v>3510</v>
      </c>
      <c r="F1366" s="71"/>
      <c r="G1366" s="74" t="s">
        <v>406</v>
      </c>
      <c r="H1366" s="71" t="str">
        <f>IF(Proc[[#This Row],[type]]="LFF (MDG-F)",MID(Proc[[#This Row],[Obj]],13,10),"")</f>
        <v>DE10Z03113</v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MGF</v>
      </c>
      <c r="L1366" s="71" t="s">
        <v>2841</v>
      </c>
      <c r="M1366" s="82">
        <v>45789.598506944443</v>
      </c>
      <c r="N1366" s="82"/>
      <c r="O1366" s="82"/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1112</v>
      </c>
      <c r="S1366" s="71"/>
    </row>
    <row r="1367" spans="1:19" hidden="1">
      <c r="A1367" s="74" t="s">
        <v>3507</v>
      </c>
      <c r="B1367" s="71" t="str">
        <f>IFERROR(VLOOKUP(Proc[[#This Row],[App]],Table2[],3,0),"open")</f>
        <v>open</v>
      </c>
      <c r="C1367" s="74" t="s">
        <v>404</v>
      </c>
      <c r="D1367" t="s">
        <v>3493</v>
      </c>
      <c r="E1367" t="s">
        <v>3510</v>
      </c>
      <c r="F1367" s="71"/>
      <c r="G1367" s="74" t="s">
        <v>406</v>
      </c>
      <c r="H1367" s="71" t="str">
        <f>IF(Proc[[#This Row],[type]]="LFF (MDG-F)",MID(Proc[[#This Row],[Obj]],13,10),"")</f>
        <v>IN01Z03101</v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MGF</v>
      </c>
      <c r="L1367" s="71" t="s">
        <v>2841</v>
      </c>
      <c r="M1367" s="82">
        <v>45789.598506944443</v>
      </c>
      <c r="N1367" s="82"/>
      <c r="O1367" s="82"/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1112</v>
      </c>
      <c r="S1367" s="71"/>
    </row>
    <row r="1368" spans="1:19" hidden="1">
      <c r="A1368" s="74" t="s">
        <v>3507</v>
      </c>
      <c r="B1368" s="71" t="str">
        <f>IFERROR(VLOOKUP(Proc[[#This Row],[App]],Table2[],3,0),"open")</f>
        <v>open</v>
      </c>
      <c r="C1368" s="74" t="s">
        <v>404</v>
      </c>
      <c r="D1368" t="s">
        <v>3494</v>
      </c>
      <c r="E1368" t="s">
        <v>3510</v>
      </c>
      <c r="F1368" s="71"/>
      <c r="G1368" s="74" t="s">
        <v>406</v>
      </c>
      <c r="H1368" s="71" t="str">
        <f>IF(Proc[[#This Row],[type]]="LFF (MDG-F)",MID(Proc[[#This Row],[Obj]],13,10),"")</f>
        <v>JP01Z03103</v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MGF</v>
      </c>
      <c r="L1368" s="71" t="s">
        <v>2841</v>
      </c>
      <c r="M1368" s="82">
        <v>45789.598506944443</v>
      </c>
      <c r="N1368" s="82"/>
      <c r="O1368" s="82"/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1112</v>
      </c>
      <c r="S1368" s="71"/>
    </row>
    <row r="1369" spans="1:19" hidden="1">
      <c r="A1369" s="74" t="s">
        <v>3507</v>
      </c>
      <c r="B1369" s="71" t="str">
        <f>IFERROR(VLOOKUP(Proc[[#This Row],[App]],Table2[],3,0),"open")</f>
        <v>open</v>
      </c>
      <c r="C1369" s="74" t="s">
        <v>404</v>
      </c>
      <c r="D1369" t="s">
        <v>3495</v>
      </c>
      <c r="E1369" t="s">
        <v>3510</v>
      </c>
      <c r="F1369" s="71"/>
      <c r="G1369" s="74" t="s">
        <v>406</v>
      </c>
      <c r="H1369" s="71" t="str">
        <f>IF(Proc[[#This Row],[type]]="LFF (MDG-F)",MID(Proc[[#This Row],[Obj]],13,10),"")</f>
        <v>US01Z03107</v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MGF</v>
      </c>
      <c r="L1369" s="71" t="s">
        <v>2841</v>
      </c>
      <c r="M1369" s="82">
        <v>45789.598506944443</v>
      </c>
      <c r="N1369" s="82"/>
      <c r="O1369" s="82"/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1112</v>
      </c>
      <c r="S1369" s="71"/>
    </row>
    <row r="1370" spans="1:19" hidden="1">
      <c r="A1370" s="74" t="s">
        <v>3507</v>
      </c>
      <c r="B1370" s="71" t="str">
        <f>IFERROR(VLOOKUP(Proc[[#This Row],[App]],Table2[],3,0),"open")</f>
        <v>open</v>
      </c>
      <c r="C1370" s="74" t="s">
        <v>404</v>
      </c>
      <c r="D1370" t="s">
        <v>3496</v>
      </c>
      <c r="E1370" t="s">
        <v>3510</v>
      </c>
      <c r="F1370" s="71"/>
      <c r="G1370" s="74" t="s">
        <v>406</v>
      </c>
      <c r="H1370" s="71" t="str">
        <f>IF(Proc[[#This Row],[type]]="LFF (MDG-F)",MID(Proc[[#This Row],[Obj]],13,10),"")</f>
        <v>KR03Z03104</v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MGF</v>
      </c>
      <c r="L1370" s="71" t="s">
        <v>2841</v>
      </c>
      <c r="M1370" s="82">
        <v>45789.598506944443</v>
      </c>
      <c r="N1370" s="82"/>
      <c r="O1370" s="82"/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1112</v>
      </c>
      <c r="S1370" s="71"/>
    </row>
    <row r="1371" spans="1:19" hidden="1">
      <c r="A1371" s="74" t="s">
        <v>3507</v>
      </c>
      <c r="B1371" s="71" t="str">
        <f>IFERROR(VLOOKUP(Proc[[#This Row],[App]],Table2[],3,0),"open")</f>
        <v>open</v>
      </c>
      <c r="C1371" s="74" t="s">
        <v>404</v>
      </c>
      <c r="D1371" t="s">
        <v>3497</v>
      </c>
      <c r="E1371" t="s">
        <v>3510</v>
      </c>
      <c r="F1371" s="71"/>
      <c r="G1371" s="74" t="s">
        <v>406</v>
      </c>
      <c r="H1371" s="71" t="str">
        <f>IF(Proc[[#This Row],[type]]="LFF (MDG-F)",MID(Proc[[#This Row],[Obj]],13,10),"")</f>
        <v>US10Z03102</v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MGF</v>
      </c>
      <c r="L1371" s="71" t="s">
        <v>2841</v>
      </c>
      <c r="M1371" s="82">
        <v>45789.598506944443</v>
      </c>
      <c r="N1371" s="82"/>
      <c r="O1371" s="82"/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1112</v>
      </c>
      <c r="S1371" s="71"/>
    </row>
    <row r="1372" spans="1:19">
      <c r="A1372" s="74" t="s">
        <v>3507</v>
      </c>
      <c r="B1372" s="71" t="str">
        <f>IFERROR(VLOOKUP(Proc[[#This Row],[App]],Table2[],3,0),"open")</f>
        <v>open</v>
      </c>
      <c r="C1372" s="74" t="s">
        <v>370</v>
      </c>
      <c r="D1372" t="s">
        <v>3498</v>
      </c>
      <c r="E1372" s="74" t="s">
        <v>3512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MGF</v>
      </c>
      <c r="L1372" s="71" t="s">
        <v>2841</v>
      </c>
      <c r="M1372" s="82">
        <v>45789.598506944443</v>
      </c>
      <c r="N1372" s="82"/>
      <c r="O1372" s="82"/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1112</v>
      </c>
      <c r="S1372" s="71"/>
    </row>
    <row r="1373" spans="1:19">
      <c r="A1373" s="74" t="s">
        <v>3507</v>
      </c>
      <c r="B1373" s="71" t="str">
        <f>IFERROR(VLOOKUP(Proc[[#This Row],[App]],Table2[],3,0),"open")</f>
        <v>open</v>
      </c>
      <c r="C1373" s="74" t="s">
        <v>370</v>
      </c>
      <c r="D1373" t="s">
        <v>3499</v>
      </c>
      <c r="E1373" s="74" t="s">
        <v>3512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MGF</v>
      </c>
      <c r="L1373" s="71" t="s">
        <v>2841</v>
      </c>
      <c r="M1373" s="82">
        <v>45789.598506944443</v>
      </c>
      <c r="N1373" s="82"/>
      <c r="O1373" s="82"/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1112</v>
      </c>
      <c r="S1373" s="71"/>
    </row>
    <row r="1374" spans="1:19">
      <c r="A1374" s="74" t="s">
        <v>3507</v>
      </c>
      <c r="B1374" s="71" t="str">
        <f>IFERROR(VLOOKUP(Proc[[#This Row],[App]],Table2[],3,0),"open")</f>
        <v>open</v>
      </c>
      <c r="C1374" s="74" t="s">
        <v>370</v>
      </c>
      <c r="D1374" t="s">
        <v>3500</v>
      </c>
      <c r="E1374" s="74" t="s">
        <v>3512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MGF</v>
      </c>
      <c r="L1374" s="71" t="s">
        <v>2841</v>
      </c>
      <c r="M1374" s="82">
        <v>45789.598506944443</v>
      </c>
      <c r="N1374" s="82"/>
      <c r="O1374" s="82"/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1112</v>
      </c>
      <c r="S1374" s="71"/>
    </row>
    <row r="1375" spans="1:19">
      <c r="A1375" s="74" t="s">
        <v>3507</v>
      </c>
      <c r="B1375" s="71" t="str">
        <f>IFERROR(VLOOKUP(Proc[[#This Row],[App]],Table2[],3,0),"open")</f>
        <v>open</v>
      </c>
      <c r="C1375" s="74" t="s">
        <v>370</v>
      </c>
      <c r="D1375" t="s">
        <v>3501</v>
      </c>
      <c r="E1375" s="74" t="s">
        <v>3512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MGF</v>
      </c>
      <c r="L1375" s="71" t="s">
        <v>2841</v>
      </c>
      <c r="M1375" s="82">
        <v>45789.598506944443</v>
      </c>
      <c r="N1375" s="82"/>
      <c r="O1375" s="82"/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1112</v>
      </c>
      <c r="S1375" s="71"/>
    </row>
    <row r="1376" spans="1:19">
      <c r="A1376" s="74" t="s">
        <v>3507</v>
      </c>
      <c r="B1376" s="71" t="str">
        <f>IFERROR(VLOOKUP(Proc[[#This Row],[App]],Table2[],3,0),"open")</f>
        <v>open</v>
      </c>
      <c r="C1376" s="74" t="s">
        <v>370</v>
      </c>
      <c r="D1376" t="s">
        <v>3502</v>
      </c>
      <c r="E1376" s="74" t="s">
        <v>3512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MGF</v>
      </c>
      <c r="L1376" s="71" t="s">
        <v>2841</v>
      </c>
      <c r="M1376" s="82">
        <v>45789.598506944443</v>
      </c>
      <c r="N1376" s="82"/>
      <c r="O1376" s="82"/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1112</v>
      </c>
      <c r="S1376" s="71"/>
    </row>
    <row r="1377" spans="1:19">
      <c r="A1377" s="74" t="s">
        <v>3507</v>
      </c>
      <c r="B1377" s="71" t="str">
        <f>IFERROR(VLOOKUP(Proc[[#This Row],[App]],Table2[],3,0),"open")</f>
        <v>open</v>
      </c>
      <c r="C1377" s="74" t="s">
        <v>370</v>
      </c>
      <c r="D1377" t="s">
        <v>3503</v>
      </c>
      <c r="E1377" s="74" t="s">
        <v>3512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MGF</v>
      </c>
      <c r="L1377" s="71" t="s">
        <v>2841</v>
      </c>
      <c r="M1377" s="82">
        <v>45789.598506944443</v>
      </c>
      <c r="N1377" s="82"/>
      <c r="O1377" s="82"/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1112</v>
      </c>
      <c r="S1377" s="71"/>
    </row>
    <row r="1378" spans="1:19">
      <c r="A1378" s="74" t="s">
        <v>3507</v>
      </c>
      <c r="B1378" s="71" t="str">
        <f>IFERROR(VLOOKUP(Proc[[#This Row],[App]],Table2[],3,0),"open")</f>
        <v>open</v>
      </c>
      <c r="C1378" s="74" t="s">
        <v>370</v>
      </c>
      <c r="D1378" t="s">
        <v>3504</v>
      </c>
      <c r="E1378" s="74" t="s">
        <v>3512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MGF</v>
      </c>
      <c r="L1378" s="71" t="s">
        <v>2841</v>
      </c>
      <c r="M1378" s="82">
        <v>45789.598506944443</v>
      </c>
      <c r="N1378" s="82"/>
      <c r="O1378" s="82"/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1112</v>
      </c>
      <c r="S1378" s="71"/>
    </row>
    <row r="1379" spans="1:19">
      <c r="A1379" s="74" t="s">
        <v>3507</v>
      </c>
      <c r="B1379" s="71" t="str">
        <f>IFERROR(VLOOKUP(Proc[[#This Row],[App]],Table2[],3,0),"open")</f>
        <v>open</v>
      </c>
      <c r="C1379" s="74" t="s">
        <v>370</v>
      </c>
      <c r="D1379" t="s">
        <v>3505</v>
      </c>
      <c r="E1379" s="74" t="s">
        <v>3512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MGF</v>
      </c>
      <c r="L1379" s="71" t="s">
        <v>2841</v>
      </c>
      <c r="M1379" s="82">
        <v>45789.598506944443</v>
      </c>
      <c r="N1379" s="82"/>
      <c r="O1379" s="82"/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1112</v>
      </c>
      <c r="S1379" s="71"/>
    </row>
    <row r="1380" spans="1:19">
      <c r="A1380" s="74" t="s">
        <v>3507</v>
      </c>
      <c r="B1380" s="71" t="str">
        <f>IFERROR(VLOOKUP(Proc[[#This Row],[App]],Table2[],3,0),"open")</f>
        <v>open</v>
      </c>
      <c r="C1380" s="74" t="s">
        <v>370</v>
      </c>
      <c r="D1380" t="s">
        <v>3506</v>
      </c>
      <c r="E1380" s="74" t="s">
        <v>3512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MGF</v>
      </c>
      <c r="L1380" s="71" t="s">
        <v>2841</v>
      </c>
      <c r="M1380" s="82">
        <v>45789.598506944443</v>
      </c>
      <c r="N1380" s="82"/>
      <c r="O1380" s="82"/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1112</v>
      </c>
      <c r="S1380" s="71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G2:G1380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5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2025-05-12T19:47:57Z</dcterms:modified>
  <cp:category/>
  <cp:contentStatus/>
</cp:coreProperties>
</file>